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molinaalvarez/Downloads/"/>
    </mc:Choice>
  </mc:AlternateContent>
  <xr:revisionPtr revIDLastSave="0" documentId="13_ncr:1_{77D4D97C-5E1B-BD48-8921-A180C865D143}" xr6:coauthVersionLast="47" xr6:coauthVersionMax="47" xr10:uidLastSave="{00000000-0000-0000-0000-000000000000}"/>
  <bookViews>
    <workbookView xWindow="0" yWindow="0" windowWidth="38400" windowHeight="21600" xr2:uid="{C1A4AD03-C97D-4A4A-801E-6D19EA9AC601}"/>
  </bookViews>
  <sheets>
    <sheet name="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0" i="3" l="1"/>
  <c r="M220" i="3"/>
  <c r="L220" i="3"/>
  <c r="N220" i="3" s="1"/>
  <c r="Q219" i="3"/>
  <c r="N219" i="3"/>
  <c r="M219" i="3"/>
  <c r="L219" i="3"/>
  <c r="Q218" i="3"/>
  <c r="M218" i="3"/>
  <c r="L218" i="3"/>
  <c r="N218" i="3" s="1"/>
  <c r="Q217" i="3"/>
  <c r="N217" i="3"/>
  <c r="M217" i="3"/>
  <c r="L217" i="3"/>
  <c r="Q216" i="3"/>
  <c r="M216" i="3"/>
  <c r="L216" i="3"/>
  <c r="N216" i="3" s="1"/>
  <c r="Q215" i="3"/>
  <c r="N215" i="3"/>
  <c r="M215" i="3"/>
  <c r="L215" i="3"/>
  <c r="Q214" i="3"/>
  <c r="M214" i="3"/>
  <c r="L214" i="3"/>
  <c r="N214" i="3" s="1"/>
  <c r="Q213" i="3"/>
  <c r="N213" i="3"/>
  <c r="M213" i="3"/>
  <c r="L213" i="3"/>
  <c r="K213" i="3"/>
  <c r="J213" i="3"/>
  <c r="I213" i="3"/>
  <c r="Q212" i="3"/>
  <c r="M212" i="3"/>
  <c r="N212" i="3" s="1"/>
  <c r="L212" i="3"/>
  <c r="K212" i="3"/>
  <c r="J212" i="3"/>
  <c r="I212" i="3"/>
  <c r="Q211" i="3"/>
  <c r="M211" i="3"/>
  <c r="L211" i="3"/>
  <c r="N211" i="3" s="1"/>
  <c r="K211" i="3"/>
  <c r="J211" i="3"/>
  <c r="I211" i="3"/>
  <c r="Q210" i="3"/>
  <c r="M210" i="3"/>
  <c r="L210" i="3"/>
  <c r="N210" i="3" s="1"/>
  <c r="K210" i="3"/>
  <c r="J210" i="3"/>
  <c r="Q209" i="3"/>
  <c r="M209" i="3"/>
  <c r="N209" i="3" s="1"/>
  <c r="L209" i="3"/>
  <c r="K209" i="3"/>
  <c r="J209" i="3"/>
  <c r="I209" i="3"/>
  <c r="Q208" i="3"/>
  <c r="N208" i="3"/>
  <c r="M208" i="3"/>
  <c r="L208" i="3"/>
  <c r="K208" i="3"/>
  <c r="J208" i="3"/>
  <c r="I208" i="3"/>
  <c r="Q207" i="3"/>
  <c r="M207" i="3"/>
  <c r="N207" i="3" s="1"/>
  <c r="L207" i="3"/>
  <c r="K207" i="3"/>
  <c r="J207" i="3"/>
  <c r="I207" i="3"/>
  <c r="Q206" i="3"/>
  <c r="N206" i="3"/>
  <c r="M206" i="3"/>
  <c r="L206" i="3"/>
  <c r="K206" i="3"/>
  <c r="J206" i="3"/>
  <c r="Q205" i="3"/>
  <c r="M205" i="3"/>
  <c r="L205" i="3"/>
  <c r="N205" i="3" s="1"/>
  <c r="K205" i="3"/>
  <c r="J205" i="3"/>
  <c r="I205" i="3"/>
  <c r="Q204" i="3"/>
  <c r="M204" i="3"/>
  <c r="L204" i="3"/>
  <c r="N204" i="3" s="1"/>
  <c r="K204" i="3"/>
  <c r="J204" i="3"/>
  <c r="I204" i="3"/>
  <c r="Q203" i="3"/>
  <c r="M203" i="3"/>
  <c r="L203" i="3"/>
  <c r="N203" i="3" s="1"/>
  <c r="K203" i="3"/>
  <c r="J203" i="3"/>
  <c r="I203" i="3"/>
  <c r="Q202" i="3"/>
  <c r="M202" i="3"/>
  <c r="N202" i="3" s="1"/>
  <c r="L202" i="3"/>
  <c r="K202" i="3"/>
  <c r="J202" i="3"/>
  <c r="Q201" i="3"/>
  <c r="M201" i="3"/>
  <c r="N201" i="3" s="1"/>
  <c r="L201" i="3"/>
  <c r="K201" i="3"/>
  <c r="J201" i="3"/>
  <c r="I201" i="3"/>
  <c r="Q200" i="3"/>
  <c r="N200" i="3"/>
  <c r="M200" i="3"/>
  <c r="L200" i="3"/>
  <c r="K200" i="3"/>
  <c r="J200" i="3"/>
  <c r="I200" i="3"/>
  <c r="Q199" i="3"/>
  <c r="M199" i="3"/>
  <c r="N199" i="3" s="1"/>
  <c r="L199" i="3"/>
  <c r="K199" i="3"/>
  <c r="J199" i="3"/>
  <c r="I199" i="3"/>
  <c r="Q198" i="3"/>
  <c r="M198" i="3"/>
  <c r="L198" i="3"/>
  <c r="N198" i="3" s="1"/>
  <c r="K198" i="3"/>
  <c r="J198" i="3"/>
  <c r="Q197" i="3"/>
  <c r="M197" i="3"/>
  <c r="L197" i="3"/>
  <c r="N197" i="3" s="1"/>
  <c r="Q196" i="3"/>
  <c r="N196" i="3"/>
  <c r="M196" i="3"/>
  <c r="L196" i="3"/>
  <c r="Q195" i="3"/>
  <c r="M195" i="3"/>
  <c r="L195" i="3"/>
  <c r="N195" i="3" s="1"/>
  <c r="Q194" i="3"/>
  <c r="N194" i="3"/>
  <c r="M194" i="3"/>
  <c r="L194" i="3"/>
  <c r="Q193" i="3"/>
  <c r="M193" i="3"/>
  <c r="L193" i="3"/>
  <c r="N193" i="3" s="1"/>
  <c r="Q192" i="3"/>
  <c r="N192" i="3"/>
  <c r="M192" i="3"/>
  <c r="L192" i="3"/>
  <c r="Q191" i="3"/>
  <c r="M191" i="3"/>
  <c r="L191" i="3"/>
  <c r="N191" i="3" s="1"/>
  <c r="Q190" i="3"/>
  <c r="N190" i="3"/>
  <c r="M190" i="3"/>
  <c r="L190" i="3"/>
  <c r="K190" i="3"/>
  <c r="J190" i="3"/>
  <c r="I190" i="3"/>
  <c r="Q189" i="3"/>
  <c r="M189" i="3"/>
  <c r="N189" i="3" s="1"/>
  <c r="L189" i="3"/>
  <c r="K189" i="3"/>
  <c r="J189" i="3"/>
  <c r="I189" i="3"/>
  <c r="Q188" i="3"/>
  <c r="M188" i="3"/>
  <c r="L188" i="3"/>
  <c r="N188" i="3" s="1"/>
  <c r="K188" i="3"/>
  <c r="J188" i="3"/>
  <c r="I188" i="3"/>
  <c r="Q187" i="3"/>
  <c r="M187" i="3"/>
  <c r="L187" i="3"/>
  <c r="N187" i="3" s="1"/>
  <c r="Q186" i="3"/>
  <c r="M186" i="3"/>
  <c r="N186" i="3" s="1"/>
  <c r="L186" i="3"/>
  <c r="K186" i="3"/>
  <c r="J186" i="3"/>
  <c r="I186" i="3"/>
  <c r="Q185" i="3"/>
  <c r="N185" i="3"/>
  <c r="M185" i="3"/>
  <c r="L185" i="3"/>
  <c r="K185" i="3"/>
  <c r="J185" i="3"/>
  <c r="I185" i="3"/>
  <c r="Q184" i="3"/>
  <c r="M184" i="3"/>
  <c r="N184" i="3" s="1"/>
  <c r="L184" i="3"/>
  <c r="K184" i="3"/>
  <c r="J184" i="3"/>
  <c r="I184" i="3"/>
  <c r="Q183" i="3"/>
  <c r="M183" i="3"/>
  <c r="L183" i="3"/>
  <c r="N183" i="3" s="1"/>
  <c r="Q182" i="3"/>
  <c r="N182" i="3"/>
  <c r="M182" i="3"/>
  <c r="L182" i="3"/>
  <c r="K182" i="3"/>
  <c r="J182" i="3"/>
  <c r="I182" i="3"/>
  <c r="Q181" i="3"/>
  <c r="M181" i="3"/>
  <c r="N181" i="3" s="1"/>
  <c r="L181" i="3"/>
  <c r="K181" i="3"/>
  <c r="J181" i="3"/>
  <c r="I181" i="3"/>
  <c r="Q180" i="3"/>
  <c r="N180" i="3"/>
  <c r="M180" i="3"/>
  <c r="L180" i="3"/>
  <c r="K180" i="3"/>
  <c r="J180" i="3"/>
  <c r="I180" i="3"/>
  <c r="Q179" i="3"/>
  <c r="M179" i="3"/>
  <c r="N179" i="3" s="1"/>
  <c r="L179" i="3"/>
  <c r="Q178" i="3"/>
  <c r="N178" i="3"/>
  <c r="M178" i="3"/>
  <c r="L178" i="3"/>
  <c r="K178" i="3"/>
  <c r="J178" i="3"/>
  <c r="I178" i="3"/>
  <c r="Q177" i="3"/>
  <c r="N177" i="3"/>
  <c r="M177" i="3"/>
  <c r="L177" i="3"/>
  <c r="K177" i="3"/>
  <c r="J177" i="3"/>
  <c r="I177" i="3"/>
  <c r="Q176" i="3"/>
  <c r="M176" i="3"/>
  <c r="N176" i="3" s="1"/>
  <c r="L176" i="3"/>
  <c r="K176" i="3"/>
  <c r="J176" i="3"/>
  <c r="I176" i="3"/>
  <c r="Q175" i="3"/>
  <c r="N175" i="3"/>
  <c r="M175" i="3"/>
  <c r="L175" i="3"/>
  <c r="Q174" i="3"/>
  <c r="M174" i="3"/>
  <c r="L174" i="3"/>
  <c r="N174" i="3" s="1"/>
  <c r="K174" i="3"/>
  <c r="J174" i="3"/>
  <c r="I174" i="3"/>
  <c r="Q173" i="3"/>
  <c r="M173" i="3"/>
  <c r="N173" i="3" s="1"/>
  <c r="L173" i="3"/>
  <c r="K173" i="3"/>
  <c r="J173" i="3"/>
  <c r="I173" i="3"/>
  <c r="Q172" i="3"/>
  <c r="N172" i="3"/>
  <c r="M172" i="3"/>
  <c r="L172" i="3"/>
  <c r="K172" i="3"/>
  <c r="J172" i="3"/>
  <c r="I172" i="3"/>
  <c r="Q171" i="3"/>
  <c r="M171" i="3"/>
  <c r="N171" i="3" s="1"/>
  <c r="L171" i="3"/>
  <c r="Q170" i="3"/>
  <c r="M170" i="3"/>
  <c r="L170" i="3"/>
  <c r="N170" i="3" s="1"/>
  <c r="K170" i="3"/>
  <c r="J170" i="3"/>
  <c r="I170" i="3"/>
  <c r="Q169" i="3"/>
  <c r="M169" i="3"/>
  <c r="L169" i="3"/>
  <c r="N169" i="3" s="1"/>
  <c r="K169" i="3"/>
  <c r="J169" i="3"/>
  <c r="I169" i="3"/>
  <c r="Q168" i="3"/>
  <c r="N168" i="3"/>
  <c r="M168" i="3"/>
  <c r="L168" i="3"/>
  <c r="K168" i="3"/>
  <c r="J168" i="3"/>
  <c r="I168" i="3"/>
  <c r="Q167" i="3"/>
  <c r="N167" i="3"/>
  <c r="M167" i="3"/>
  <c r="L167" i="3"/>
  <c r="Q166" i="3"/>
  <c r="M166" i="3"/>
  <c r="L166" i="3"/>
  <c r="N166" i="3" s="1"/>
  <c r="K166" i="3"/>
  <c r="J166" i="3"/>
  <c r="I166" i="3"/>
  <c r="Q165" i="3"/>
  <c r="M165" i="3"/>
  <c r="L165" i="3"/>
  <c r="N165" i="3" s="1"/>
  <c r="K165" i="3"/>
  <c r="J165" i="3"/>
  <c r="I165" i="3"/>
  <c r="Q164" i="3"/>
  <c r="M164" i="3"/>
  <c r="L164" i="3"/>
  <c r="N164" i="3" s="1"/>
  <c r="K164" i="3"/>
  <c r="J164" i="3"/>
  <c r="I164" i="3"/>
  <c r="Q163" i="3"/>
  <c r="N163" i="3"/>
  <c r="M163" i="3"/>
  <c r="L163" i="3"/>
  <c r="Q162" i="3"/>
  <c r="M162" i="3"/>
  <c r="N162" i="3" s="1"/>
  <c r="L162" i="3"/>
  <c r="K162" i="3"/>
  <c r="J162" i="3"/>
  <c r="I162" i="3"/>
  <c r="Q161" i="3"/>
  <c r="M161" i="3"/>
  <c r="L161" i="3"/>
  <c r="N161" i="3" s="1"/>
  <c r="K161" i="3"/>
  <c r="J161" i="3"/>
  <c r="I161" i="3"/>
  <c r="Q160" i="3"/>
  <c r="M160" i="3"/>
  <c r="L160" i="3"/>
  <c r="N160" i="3" s="1"/>
  <c r="K160" i="3"/>
  <c r="J160" i="3"/>
  <c r="I160" i="3"/>
  <c r="Q159" i="3"/>
  <c r="M159" i="3"/>
  <c r="L159" i="3"/>
  <c r="N159" i="3" s="1"/>
  <c r="Q158" i="3"/>
  <c r="N158" i="3"/>
  <c r="M158" i="3"/>
  <c r="L158" i="3"/>
  <c r="K158" i="3"/>
  <c r="J158" i="3"/>
  <c r="I158" i="3"/>
  <c r="Q157" i="3"/>
  <c r="M157" i="3"/>
  <c r="N157" i="3" s="1"/>
  <c r="L157" i="3"/>
  <c r="K157" i="3"/>
  <c r="J157" i="3"/>
  <c r="I157" i="3"/>
  <c r="Q156" i="3"/>
  <c r="M156" i="3"/>
  <c r="L156" i="3"/>
  <c r="N156" i="3" s="1"/>
  <c r="K156" i="3"/>
  <c r="J156" i="3"/>
  <c r="I156" i="3"/>
  <c r="Q155" i="3"/>
  <c r="M155" i="3"/>
  <c r="L155" i="3"/>
  <c r="N155" i="3" s="1"/>
  <c r="Q154" i="3"/>
  <c r="M154" i="3"/>
  <c r="L154" i="3"/>
  <c r="N154" i="3" s="1"/>
  <c r="K154" i="3"/>
  <c r="J154" i="3"/>
  <c r="I154" i="3"/>
  <c r="Q153" i="3"/>
  <c r="N153" i="3"/>
  <c r="M153" i="3"/>
  <c r="L153" i="3"/>
  <c r="K153" i="3"/>
  <c r="J153" i="3"/>
  <c r="I153" i="3"/>
  <c r="Q152" i="3"/>
  <c r="M152" i="3"/>
  <c r="N152" i="3" s="1"/>
  <c r="L152" i="3"/>
  <c r="K152" i="3"/>
  <c r="J152" i="3"/>
  <c r="I152" i="3"/>
  <c r="Q151" i="3"/>
  <c r="M151" i="3"/>
  <c r="L151" i="3"/>
  <c r="N151" i="3" s="1"/>
  <c r="S150" i="3"/>
  <c r="Q150" i="3"/>
  <c r="M150" i="3"/>
  <c r="N150" i="3" s="1"/>
  <c r="L150" i="3"/>
  <c r="S149" i="3"/>
  <c r="Q149" i="3"/>
  <c r="N149" i="3"/>
  <c r="M149" i="3"/>
  <c r="L149" i="3"/>
  <c r="S148" i="3"/>
  <c r="Q148" i="3"/>
  <c r="M148" i="3"/>
  <c r="L148" i="3"/>
  <c r="N148" i="3" s="1"/>
  <c r="S147" i="3"/>
  <c r="Q147" i="3"/>
  <c r="N147" i="3"/>
  <c r="M147" i="3"/>
  <c r="L147" i="3"/>
  <c r="S146" i="3"/>
  <c r="Q146" i="3"/>
  <c r="M146" i="3"/>
  <c r="N146" i="3" s="1"/>
  <c r="L146" i="3"/>
  <c r="S145" i="3"/>
  <c r="Q145" i="3"/>
  <c r="M145" i="3"/>
  <c r="L145" i="3"/>
  <c r="N145" i="3" s="1"/>
  <c r="S144" i="3"/>
  <c r="Q144" i="3"/>
  <c r="M144" i="3"/>
  <c r="N144" i="3" s="1"/>
  <c r="L144" i="3"/>
  <c r="S143" i="3"/>
  <c r="Q143" i="3"/>
  <c r="M143" i="3"/>
  <c r="L143" i="3"/>
  <c r="N143" i="3" s="1"/>
  <c r="S142" i="3"/>
  <c r="Q142" i="3"/>
  <c r="N142" i="3"/>
  <c r="M142" i="3"/>
  <c r="L142" i="3"/>
  <c r="S141" i="3"/>
  <c r="Q141" i="3"/>
  <c r="N141" i="3"/>
  <c r="M141" i="3"/>
  <c r="L141" i="3"/>
  <c r="S140" i="3"/>
  <c r="Q140" i="3"/>
  <c r="M140" i="3"/>
  <c r="L140" i="3"/>
  <c r="N140" i="3" s="1"/>
  <c r="S139" i="3"/>
  <c r="Q139" i="3"/>
  <c r="N139" i="3"/>
  <c r="M139" i="3"/>
  <c r="L139" i="3"/>
  <c r="S138" i="3"/>
  <c r="Q138" i="3"/>
  <c r="M138" i="3"/>
  <c r="N138" i="3" s="1"/>
  <c r="L138" i="3"/>
  <c r="S137" i="3"/>
  <c r="Q137" i="3"/>
  <c r="M137" i="3"/>
  <c r="L137" i="3"/>
  <c r="N137" i="3" s="1"/>
  <c r="S136" i="3"/>
  <c r="Q136" i="3"/>
  <c r="M136" i="3"/>
  <c r="L136" i="3"/>
  <c r="N136" i="3" s="1"/>
  <c r="S135" i="3"/>
  <c r="Q135" i="3"/>
  <c r="M135" i="3"/>
  <c r="L135" i="3"/>
  <c r="N135" i="3" s="1"/>
  <c r="S134" i="3"/>
  <c r="Q134" i="3"/>
  <c r="N134" i="3"/>
  <c r="M134" i="3"/>
  <c r="L134" i="3"/>
  <c r="S133" i="3"/>
  <c r="Q133" i="3"/>
  <c r="N133" i="3"/>
  <c r="M133" i="3"/>
  <c r="L133" i="3"/>
  <c r="S132" i="3"/>
  <c r="Q132" i="3"/>
  <c r="M132" i="3"/>
  <c r="L132" i="3"/>
  <c r="N132" i="3" s="1"/>
  <c r="S131" i="3"/>
  <c r="Q131" i="3"/>
  <c r="N131" i="3"/>
  <c r="M131" i="3"/>
  <c r="L131" i="3"/>
  <c r="Q130" i="3"/>
  <c r="M130" i="3"/>
  <c r="L130" i="3"/>
  <c r="N130" i="3" s="1"/>
  <c r="K130" i="3"/>
  <c r="I130" i="3"/>
  <c r="Q129" i="3"/>
  <c r="M129" i="3"/>
  <c r="L129" i="3"/>
  <c r="N129" i="3" s="1"/>
  <c r="K129" i="3"/>
  <c r="I129" i="3"/>
  <c r="Q128" i="3"/>
  <c r="N128" i="3"/>
  <c r="M128" i="3"/>
  <c r="L128" i="3"/>
  <c r="K128" i="3"/>
  <c r="I128" i="3"/>
  <c r="Q127" i="3"/>
  <c r="N127" i="3"/>
  <c r="M127" i="3"/>
  <c r="L127" i="3"/>
  <c r="Q126" i="3"/>
  <c r="M126" i="3"/>
  <c r="L126" i="3"/>
  <c r="N126" i="3" s="1"/>
  <c r="K126" i="3"/>
  <c r="I126" i="3"/>
  <c r="Q125" i="3"/>
  <c r="N125" i="3"/>
  <c r="M125" i="3"/>
  <c r="L125" i="3"/>
  <c r="K125" i="3"/>
  <c r="I125" i="3"/>
  <c r="Q124" i="3"/>
  <c r="N124" i="3"/>
  <c r="M124" i="3"/>
  <c r="L124" i="3"/>
  <c r="K124" i="3"/>
  <c r="I124" i="3"/>
  <c r="Q123" i="3"/>
  <c r="M123" i="3"/>
  <c r="L123" i="3"/>
  <c r="N123" i="3" s="1"/>
  <c r="Q122" i="3"/>
  <c r="N122" i="3"/>
  <c r="M122" i="3"/>
  <c r="L122" i="3"/>
  <c r="K122" i="3"/>
  <c r="I122" i="3"/>
  <c r="Q121" i="3"/>
  <c r="N121" i="3"/>
  <c r="M121" i="3"/>
  <c r="L121" i="3"/>
  <c r="K121" i="3"/>
  <c r="I121" i="3"/>
  <c r="Q120" i="3"/>
  <c r="M120" i="3"/>
  <c r="L120" i="3"/>
  <c r="N120" i="3" s="1"/>
  <c r="K120" i="3"/>
  <c r="I120" i="3"/>
  <c r="Q119" i="3"/>
  <c r="M119" i="3"/>
  <c r="L119" i="3"/>
  <c r="N119" i="3" s="1"/>
  <c r="Q118" i="3"/>
  <c r="N118" i="3"/>
  <c r="M118" i="3"/>
  <c r="L118" i="3"/>
  <c r="Q117" i="3"/>
  <c r="M117" i="3"/>
  <c r="L117" i="3"/>
  <c r="N117" i="3" s="1"/>
  <c r="Q116" i="3"/>
  <c r="N116" i="3"/>
  <c r="M116" i="3"/>
  <c r="L116" i="3"/>
  <c r="Q115" i="3"/>
  <c r="M115" i="3"/>
  <c r="L115" i="3"/>
  <c r="N115" i="3" s="1"/>
  <c r="K115" i="3"/>
  <c r="J115" i="3"/>
  <c r="I115" i="3"/>
  <c r="Q114" i="3"/>
  <c r="N114" i="3"/>
  <c r="M114" i="3"/>
  <c r="L114" i="3"/>
  <c r="K114" i="3"/>
  <c r="J114" i="3"/>
  <c r="I114" i="3"/>
  <c r="Q113" i="3"/>
  <c r="N113" i="3"/>
  <c r="M113" i="3"/>
  <c r="L113" i="3"/>
  <c r="K113" i="3"/>
  <c r="J113" i="3"/>
  <c r="I113" i="3"/>
  <c r="Q112" i="3"/>
  <c r="M112" i="3"/>
  <c r="N112" i="3" s="1"/>
  <c r="L112" i="3"/>
  <c r="Q111" i="3"/>
  <c r="M111" i="3"/>
  <c r="L111" i="3"/>
  <c r="N111" i="3" s="1"/>
  <c r="Q110" i="3"/>
  <c r="M110" i="3"/>
  <c r="N110" i="3" s="1"/>
  <c r="L110" i="3"/>
  <c r="Q109" i="3"/>
  <c r="M109" i="3"/>
  <c r="L109" i="3"/>
  <c r="N109" i="3" s="1"/>
  <c r="Q108" i="3"/>
  <c r="M108" i="3"/>
  <c r="N108" i="3" s="1"/>
  <c r="L108" i="3"/>
  <c r="Q107" i="3"/>
  <c r="M107" i="3"/>
  <c r="L107" i="3"/>
  <c r="N107" i="3" s="1"/>
  <c r="Q106" i="3"/>
  <c r="M106" i="3"/>
  <c r="N106" i="3" s="1"/>
  <c r="L106" i="3"/>
  <c r="Q105" i="3"/>
  <c r="M105" i="3"/>
  <c r="L105" i="3"/>
  <c r="N105" i="3" s="1"/>
  <c r="Q104" i="3"/>
  <c r="M104" i="3"/>
  <c r="N104" i="3" s="1"/>
  <c r="L104" i="3"/>
  <c r="Q103" i="3"/>
  <c r="M103" i="3"/>
  <c r="L103" i="3"/>
  <c r="N103" i="3" s="1"/>
  <c r="Q102" i="3"/>
  <c r="M102" i="3"/>
  <c r="N102" i="3" s="1"/>
  <c r="L102" i="3"/>
  <c r="Q101" i="3"/>
  <c r="M101" i="3"/>
  <c r="L101" i="3"/>
  <c r="N101" i="3" s="1"/>
  <c r="Q100" i="3"/>
  <c r="M100" i="3"/>
  <c r="N100" i="3" s="1"/>
  <c r="L100" i="3"/>
  <c r="Q99" i="3"/>
  <c r="M99" i="3"/>
  <c r="L99" i="3"/>
  <c r="N99" i="3" s="1"/>
  <c r="Q98" i="3"/>
  <c r="M98" i="3"/>
  <c r="N98" i="3" s="1"/>
  <c r="L98" i="3"/>
  <c r="Q97" i="3"/>
  <c r="M97" i="3"/>
  <c r="L97" i="3"/>
  <c r="N97" i="3" s="1"/>
  <c r="Q96" i="3"/>
  <c r="M96" i="3"/>
  <c r="N96" i="3" s="1"/>
  <c r="L96" i="3"/>
  <c r="Q95" i="3"/>
  <c r="M95" i="3"/>
  <c r="L95" i="3"/>
  <c r="N95" i="3" s="1"/>
  <c r="Q94" i="3"/>
  <c r="M94" i="3"/>
  <c r="N94" i="3" s="1"/>
  <c r="L94" i="3"/>
  <c r="Q93" i="3"/>
  <c r="M93" i="3"/>
  <c r="L93" i="3"/>
  <c r="N93" i="3" s="1"/>
  <c r="Q92" i="3"/>
  <c r="M92" i="3"/>
  <c r="N92" i="3" s="1"/>
  <c r="L92" i="3"/>
  <c r="Q91" i="3"/>
  <c r="M91" i="3"/>
  <c r="L91" i="3"/>
  <c r="N91" i="3" s="1"/>
  <c r="Q90" i="3"/>
  <c r="M90" i="3"/>
  <c r="N90" i="3" s="1"/>
  <c r="L90" i="3"/>
  <c r="Q89" i="3"/>
  <c r="M89" i="3"/>
  <c r="L89" i="3"/>
  <c r="N89" i="3" s="1"/>
  <c r="Q88" i="3"/>
  <c r="M88" i="3"/>
  <c r="N88" i="3" s="1"/>
  <c r="L88" i="3"/>
  <c r="Q87" i="3"/>
  <c r="M87" i="3"/>
  <c r="L87" i="3"/>
  <c r="N87" i="3" s="1"/>
  <c r="Q86" i="3"/>
  <c r="M86" i="3"/>
  <c r="N86" i="3" s="1"/>
  <c r="L86" i="3"/>
  <c r="Q85" i="3"/>
  <c r="N85" i="3"/>
  <c r="Q84" i="3"/>
  <c r="N84" i="3"/>
  <c r="Q83" i="3"/>
  <c r="N83" i="3"/>
  <c r="Q82" i="3"/>
  <c r="N82" i="3"/>
  <c r="Q81" i="3"/>
  <c r="M81" i="3"/>
  <c r="L81" i="3"/>
  <c r="N81" i="3" s="1"/>
  <c r="K81" i="3"/>
  <c r="J81" i="3"/>
  <c r="I81" i="3"/>
  <c r="Q80" i="3"/>
  <c r="M80" i="3"/>
  <c r="L80" i="3"/>
  <c r="N80" i="3" s="1"/>
  <c r="K80" i="3"/>
  <c r="J80" i="3"/>
  <c r="I80" i="3"/>
  <c r="Q79" i="3"/>
  <c r="N79" i="3"/>
  <c r="M79" i="3"/>
  <c r="L79" i="3"/>
  <c r="Q78" i="3"/>
  <c r="M78" i="3"/>
  <c r="N78" i="3" s="1"/>
  <c r="L78" i="3"/>
  <c r="K78" i="3"/>
  <c r="J78" i="3"/>
  <c r="I78" i="3"/>
  <c r="Q77" i="3"/>
  <c r="M77" i="3"/>
  <c r="L77" i="3"/>
  <c r="N77" i="3" s="1"/>
  <c r="K77" i="3"/>
  <c r="J77" i="3"/>
  <c r="I77" i="3"/>
  <c r="Q76" i="3"/>
  <c r="M76" i="3"/>
  <c r="L76" i="3"/>
  <c r="N76" i="3" s="1"/>
  <c r="K76" i="3"/>
  <c r="J76" i="3"/>
  <c r="I76" i="3"/>
  <c r="Q75" i="3"/>
  <c r="M75" i="3"/>
  <c r="L75" i="3"/>
  <c r="N75" i="3" s="1"/>
  <c r="Q74" i="3"/>
  <c r="N74" i="3"/>
  <c r="M74" i="3"/>
  <c r="L74" i="3"/>
  <c r="K74" i="3"/>
  <c r="J74" i="3"/>
  <c r="I74" i="3"/>
  <c r="Q73" i="3"/>
  <c r="M73" i="3"/>
  <c r="N73" i="3" s="1"/>
  <c r="L73" i="3"/>
  <c r="K73" i="3"/>
  <c r="J73" i="3"/>
  <c r="I73" i="3"/>
  <c r="Q72" i="3"/>
  <c r="M72" i="3"/>
  <c r="L72" i="3"/>
  <c r="N72" i="3" s="1"/>
  <c r="K72" i="3"/>
  <c r="J72" i="3"/>
  <c r="I72" i="3"/>
  <c r="Q71" i="3"/>
  <c r="M71" i="3"/>
  <c r="L71" i="3"/>
  <c r="N71" i="3" s="1"/>
  <c r="Q70" i="3"/>
  <c r="M70" i="3"/>
  <c r="L70" i="3"/>
  <c r="N70" i="3" s="1"/>
  <c r="K70" i="3"/>
  <c r="J70" i="3"/>
  <c r="I70" i="3"/>
  <c r="Q69" i="3"/>
  <c r="N69" i="3"/>
  <c r="M69" i="3"/>
  <c r="L69" i="3"/>
  <c r="K69" i="3"/>
  <c r="J69" i="3"/>
  <c r="I69" i="3"/>
  <c r="Q68" i="3"/>
  <c r="M68" i="3"/>
  <c r="N68" i="3" s="1"/>
  <c r="L68" i="3"/>
  <c r="K68" i="3"/>
  <c r="J68" i="3"/>
  <c r="I68" i="3"/>
  <c r="Q67" i="3"/>
  <c r="M67" i="3"/>
  <c r="L67" i="3"/>
  <c r="N67" i="3" s="1"/>
  <c r="Q66" i="3"/>
  <c r="N66" i="3"/>
  <c r="M66" i="3"/>
  <c r="L66" i="3"/>
  <c r="K66" i="3"/>
  <c r="J66" i="3"/>
  <c r="I66" i="3"/>
  <c r="Q65" i="3"/>
  <c r="M65" i="3"/>
  <c r="L65" i="3"/>
  <c r="N65" i="3" s="1"/>
  <c r="K65" i="3"/>
  <c r="J65" i="3"/>
  <c r="I65" i="3"/>
  <c r="Q64" i="3"/>
  <c r="N64" i="3"/>
  <c r="M64" i="3"/>
  <c r="L64" i="3"/>
  <c r="K64" i="3"/>
  <c r="J64" i="3"/>
  <c r="I64" i="3"/>
  <c r="Q63" i="3"/>
  <c r="M63" i="3"/>
  <c r="N63" i="3" s="1"/>
  <c r="L63" i="3"/>
  <c r="Q62" i="3"/>
  <c r="N62" i="3"/>
  <c r="M62" i="3"/>
  <c r="L62" i="3"/>
  <c r="K62" i="3"/>
  <c r="J62" i="3"/>
  <c r="I62" i="3"/>
  <c r="Q61" i="3"/>
  <c r="N61" i="3"/>
  <c r="M61" i="3"/>
  <c r="L61" i="3"/>
  <c r="K61" i="3"/>
  <c r="J61" i="3"/>
  <c r="I61" i="3"/>
  <c r="Q60" i="3"/>
  <c r="M60" i="3"/>
  <c r="N60" i="3" s="1"/>
  <c r="L60" i="3"/>
  <c r="K60" i="3"/>
  <c r="J60" i="3"/>
  <c r="I60" i="3"/>
  <c r="Q59" i="3"/>
  <c r="N59" i="3"/>
  <c r="M59" i="3"/>
  <c r="L59" i="3"/>
  <c r="Q58" i="3"/>
  <c r="M58" i="3"/>
  <c r="L58" i="3"/>
  <c r="N58" i="3" s="1"/>
  <c r="K58" i="3"/>
  <c r="J58" i="3"/>
  <c r="I58" i="3"/>
  <c r="Q57" i="3"/>
  <c r="N57" i="3"/>
  <c r="M57" i="3"/>
  <c r="L57" i="3"/>
  <c r="K57" i="3"/>
  <c r="J57" i="3"/>
  <c r="I57" i="3"/>
  <c r="Q56" i="3"/>
  <c r="N56" i="3"/>
  <c r="M56" i="3"/>
  <c r="L56" i="3"/>
  <c r="K56" i="3"/>
  <c r="J56" i="3"/>
  <c r="I56" i="3"/>
  <c r="Q55" i="3"/>
  <c r="M55" i="3"/>
  <c r="L55" i="3"/>
  <c r="N55" i="3" s="1"/>
  <c r="Q54" i="3"/>
  <c r="M54" i="3"/>
  <c r="L54" i="3"/>
  <c r="N54" i="3" s="1"/>
  <c r="K54" i="3"/>
  <c r="J54" i="3"/>
  <c r="I54" i="3"/>
  <c r="Q53" i="3"/>
  <c r="M53" i="3"/>
  <c r="L53" i="3"/>
  <c r="N53" i="3" s="1"/>
  <c r="K53" i="3"/>
  <c r="J53" i="3"/>
  <c r="I53" i="3"/>
  <c r="Q52" i="3"/>
  <c r="M52" i="3"/>
  <c r="N52" i="3" s="1"/>
  <c r="L52" i="3"/>
  <c r="K52" i="3"/>
  <c r="J52" i="3"/>
  <c r="I52" i="3"/>
  <c r="Q51" i="3"/>
  <c r="N51" i="3"/>
  <c r="M51" i="3"/>
  <c r="L51" i="3"/>
  <c r="Q50" i="3"/>
  <c r="M50" i="3"/>
  <c r="L50" i="3"/>
  <c r="N50" i="3" s="1"/>
  <c r="K50" i="3"/>
  <c r="J50" i="3"/>
  <c r="I50" i="3"/>
  <c r="Q49" i="3"/>
  <c r="M49" i="3"/>
  <c r="L49" i="3"/>
  <c r="N49" i="3" s="1"/>
  <c r="K49" i="3"/>
  <c r="J49" i="3"/>
  <c r="I49" i="3"/>
  <c r="Q48" i="3"/>
  <c r="M48" i="3"/>
  <c r="L48" i="3"/>
  <c r="N48" i="3" s="1"/>
  <c r="K48" i="3"/>
  <c r="J48" i="3"/>
  <c r="I48" i="3"/>
  <c r="Q46" i="3"/>
  <c r="N46" i="3"/>
  <c r="M46" i="3"/>
  <c r="L46" i="3"/>
  <c r="K46" i="3"/>
  <c r="J46" i="3"/>
  <c r="I46" i="3"/>
  <c r="Q45" i="3"/>
  <c r="N45" i="3"/>
  <c r="M45" i="3"/>
  <c r="L45" i="3"/>
  <c r="K45" i="3"/>
  <c r="J45" i="3"/>
  <c r="I45" i="3"/>
  <c r="Q44" i="3"/>
  <c r="M44" i="3"/>
  <c r="N44" i="3" s="1"/>
  <c r="L44" i="3"/>
  <c r="K44" i="3"/>
  <c r="J44" i="3"/>
  <c r="I44" i="3"/>
  <c r="Q42" i="3"/>
  <c r="N42" i="3"/>
  <c r="M42" i="3"/>
  <c r="L42" i="3"/>
  <c r="K42" i="3"/>
  <c r="J42" i="3"/>
  <c r="I42" i="3"/>
  <c r="Q41" i="3"/>
  <c r="M41" i="3"/>
  <c r="N41" i="3" s="1"/>
  <c r="L41" i="3"/>
  <c r="K41" i="3"/>
  <c r="J41" i="3"/>
  <c r="I41" i="3"/>
  <c r="Q40" i="3"/>
  <c r="M40" i="3"/>
  <c r="L40" i="3"/>
  <c r="N40" i="3" s="1"/>
  <c r="K40" i="3"/>
  <c r="J40" i="3"/>
  <c r="I40" i="3"/>
  <c r="Q38" i="3"/>
  <c r="M38" i="3"/>
  <c r="L38" i="3"/>
  <c r="N38" i="3" s="1"/>
  <c r="K38" i="3"/>
  <c r="J38" i="3"/>
  <c r="I38" i="3"/>
  <c r="Q37" i="3"/>
  <c r="M37" i="3"/>
  <c r="L37" i="3"/>
  <c r="N37" i="3" s="1"/>
  <c r="K37" i="3"/>
  <c r="J37" i="3"/>
  <c r="I37" i="3"/>
  <c r="Q36" i="3"/>
  <c r="M36" i="3"/>
  <c r="N36" i="3" s="1"/>
  <c r="L36" i="3"/>
  <c r="K36" i="3"/>
  <c r="J36" i="3"/>
  <c r="I36" i="3"/>
  <c r="Q34" i="3"/>
  <c r="N34" i="3"/>
  <c r="M34" i="3"/>
  <c r="L34" i="3"/>
  <c r="K34" i="3"/>
  <c r="J34" i="3"/>
  <c r="I34" i="3"/>
  <c r="Q33" i="3"/>
  <c r="M33" i="3"/>
  <c r="N33" i="3" s="1"/>
  <c r="L33" i="3"/>
  <c r="K33" i="3"/>
  <c r="J33" i="3"/>
  <c r="I33" i="3"/>
  <c r="Q32" i="3"/>
  <c r="N32" i="3"/>
  <c r="M32" i="3"/>
  <c r="L32" i="3"/>
  <c r="K32" i="3"/>
  <c r="J32" i="3"/>
  <c r="I32" i="3"/>
  <c r="Q30" i="3"/>
  <c r="L30" i="3"/>
  <c r="N30" i="3" s="1"/>
  <c r="Q29" i="3"/>
  <c r="N29" i="3"/>
  <c r="L29" i="3"/>
  <c r="Q28" i="3"/>
  <c r="L28" i="3"/>
  <c r="N28" i="3" s="1"/>
  <c r="Q27" i="3"/>
  <c r="N27" i="3"/>
  <c r="L27" i="3"/>
  <c r="Q26" i="3"/>
  <c r="L26" i="3"/>
  <c r="N26" i="3" s="1"/>
  <c r="Q25" i="3"/>
  <c r="L25" i="3"/>
  <c r="N25" i="3" s="1"/>
  <c r="Q24" i="3"/>
  <c r="M24" i="3"/>
  <c r="N24" i="3" s="1"/>
  <c r="L24" i="3"/>
  <c r="Q23" i="3"/>
  <c r="M23" i="3"/>
  <c r="L23" i="3"/>
  <c r="N23" i="3" s="1"/>
  <c r="Q22" i="3"/>
  <c r="M22" i="3"/>
  <c r="N22" i="3" s="1"/>
  <c r="L22" i="3"/>
  <c r="Q21" i="3"/>
  <c r="M21" i="3"/>
  <c r="L21" i="3"/>
  <c r="N21" i="3" s="1"/>
  <c r="Q20" i="3"/>
  <c r="M20" i="3"/>
  <c r="N20" i="3" s="1"/>
  <c r="L20" i="3"/>
  <c r="Q19" i="3"/>
  <c r="M19" i="3"/>
  <c r="L19" i="3"/>
  <c r="N19" i="3" s="1"/>
  <c r="Q18" i="3"/>
  <c r="M18" i="3"/>
  <c r="N18" i="3" s="1"/>
  <c r="L18" i="3"/>
  <c r="S17" i="3"/>
  <c r="Q17" i="3"/>
  <c r="M17" i="3"/>
  <c r="L17" i="3"/>
  <c r="N17" i="3" s="1"/>
  <c r="S16" i="3"/>
  <c r="Q16" i="3"/>
  <c r="M16" i="3"/>
  <c r="N16" i="3" s="1"/>
  <c r="L16" i="3"/>
  <c r="S15" i="3"/>
  <c r="Q15" i="3"/>
  <c r="N15" i="3"/>
  <c r="M15" i="3"/>
  <c r="L15" i="3"/>
  <c r="Q14" i="3"/>
  <c r="M14" i="3"/>
  <c r="L14" i="3"/>
  <c r="N14" i="3" s="1"/>
  <c r="Q13" i="3"/>
  <c r="N13" i="3"/>
  <c r="M13" i="3"/>
  <c r="L13" i="3"/>
  <c r="Q12" i="3"/>
  <c r="M12" i="3"/>
  <c r="L12" i="3"/>
  <c r="N12" i="3" s="1"/>
  <c r="Q11" i="3"/>
  <c r="N11" i="3"/>
  <c r="M11" i="3"/>
  <c r="L11" i="3"/>
  <c r="Q10" i="3"/>
  <c r="M10" i="3"/>
  <c r="L10" i="3"/>
  <c r="N10" i="3" s="1"/>
  <c r="Q9" i="3"/>
  <c r="N9" i="3"/>
  <c r="M9" i="3"/>
  <c r="L9" i="3"/>
  <c r="Q8" i="3"/>
  <c r="M8" i="3"/>
  <c r="L8" i="3"/>
  <c r="N8" i="3" s="1"/>
  <c r="Q7" i="3"/>
  <c r="N7" i="3"/>
  <c r="M7" i="3"/>
  <c r="L7" i="3"/>
  <c r="Q6" i="3"/>
  <c r="M6" i="3"/>
  <c r="L6" i="3"/>
  <c r="N6" i="3" s="1"/>
  <c r="Q5" i="3"/>
  <c r="N5" i="3"/>
  <c r="M5" i="3"/>
  <c r="L5" i="3"/>
  <c r="Q4" i="3"/>
  <c r="M4" i="3"/>
  <c r="L4" i="3"/>
  <c r="N4" i="3" s="1"/>
  <c r="L3" i="3"/>
  <c r="N3" i="3" s="1"/>
  <c r="Q2" i="3"/>
  <c r="N2" i="3"/>
  <c r="M2" i="3"/>
  <c r="L2" i="3"/>
</calcChain>
</file>

<file path=xl/sharedStrings.xml><?xml version="1.0" encoding="utf-8"?>
<sst xmlns="http://schemas.openxmlformats.org/spreadsheetml/2006/main" count="1833" uniqueCount="134">
  <si>
    <t>AUTHOR_YEAR</t>
  </si>
  <si>
    <t>BIOMARKER</t>
  </si>
  <si>
    <t>Ni</t>
  </si>
  <si>
    <t>MEANi</t>
  </si>
  <si>
    <t>SDi</t>
  </si>
  <si>
    <t>Ncr</t>
  </si>
  <si>
    <t>MEANcr</t>
  </si>
  <si>
    <t>SDcr</t>
  </si>
  <si>
    <t>Nc</t>
  </si>
  <si>
    <t>MEANc</t>
  </si>
  <si>
    <t>SDc</t>
  </si>
  <si>
    <t>SEXO1</t>
  </si>
  <si>
    <t>SEXO2</t>
  </si>
  <si>
    <t>SEXO</t>
  </si>
  <si>
    <t>EDAD1</t>
  </si>
  <si>
    <t>EDAD2</t>
  </si>
  <si>
    <t>EDAD</t>
  </si>
  <si>
    <t>DIAG</t>
  </si>
  <si>
    <t>TIME_EVOL</t>
  </si>
  <si>
    <t>QUEST</t>
  </si>
  <si>
    <t>LAB</t>
  </si>
  <si>
    <t>DIABETES</t>
  </si>
  <si>
    <t>Abdul-Razzak 2020</t>
  </si>
  <si>
    <t>none</t>
  </si>
  <si>
    <t>na</t>
  </si>
  <si>
    <t>VITD</t>
  </si>
  <si>
    <t>CE</t>
  </si>
  <si>
    <t>HASD</t>
  </si>
  <si>
    <t>Chemiluminescent assay</t>
  </si>
  <si>
    <t>ND</t>
  </si>
  <si>
    <t>Ajeena 2021</t>
  </si>
  <si>
    <t>CCL5</t>
  </si>
  <si>
    <t>ELISA</t>
  </si>
  <si>
    <t>Arshad 2024</t>
  </si>
  <si>
    <t>IL6</t>
  </si>
  <si>
    <t>E</t>
  </si>
  <si>
    <t>BCTQ</t>
  </si>
  <si>
    <t>MDA</t>
  </si>
  <si>
    <t>Spectrophotometer</t>
  </si>
  <si>
    <t>SOD</t>
  </si>
  <si>
    <t>Absorbancia</t>
  </si>
  <si>
    <t>NO</t>
  </si>
  <si>
    <t>Baričić 2022</t>
  </si>
  <si>
    <t>BMP7</t>
  </si>
  <si>
    <t>IL1β</t>
  </si>
  <si>
    <t>TGFβ1</t>
  </si>
  <si>
    <t>TNFα</t>
  </si>
  <si>
    <t>CRP</t>
  </si>
  <si>
    <t>Bergsten 2022</t>
  </si>
  <si>
    <t>C</t>
  </si>
  <si>
    <t>Cevik  2017</t>
  </si>
  <si>
    <t>Demirkol 2012</t>
  </si>
  <si>
    <t>TAS</t>
  </si>
  <si>
    <t>Novel automated method</t>
  </si>
  <si>
    <t>TOS</t>
  </si>
  <si>
    <t>OSI</t>
  </si>
  <si>
    <t>Deveci 2023</t>
  </si>
  <si>
    <t>NND_D</t>
  </si>
  <si>
    <t>VITB12</t>
  </si>
  <si>
    <t>Mg</t>
  </si>
  <si>
    <t>Ca</t>
  </si>
  <si>
    <t>Ft</t>
  </si>
  <si>
    <t>Hb</t>
  </si>
  <si>
    <t>FA</t>
  </si>
  <si>
    <t>Fattah 2023</t>
  </si>
  <si>
    <t>CCL4</t>
  </si>
  <si>
    <t>Freeland 2002</t>
  </si>
  <si>
    <t>IL1</t>
  </si>
  <si>
    <t>PGE2</t>
  </si>
  <si>
    <t>Gölen 2023</t>
  </si>
  <si>
    <t>Neutrophils</t>
  </si>
  <si>
    <t>Lymphocytes</t>
  </si>
  <si>
    <t>Monocytes</t>
  </si>
  <si>
    <t>Platelets</t>
  </si>
  <si>
    <t>SII</t>
  </si>
  <si>
    <t>Güneș 2019</t>
  </si>
  <si>
    <t>Autoanalyzer</t>
  </si>
  <si>
    <t>PLR</t>
  </si>
  <si>
    <t>NLR</t>
  </si>
  <si>
    <t>Gürsoy 2016</t>
  </si>
  <si>
    <t xml:space="preserve">Radioimmunoassay </t>
  </si>
  <si>
    <t>Karimi 2020</t>
  </si>
  <si>
    <t>IL10</t>
  </si>
  <si>
    <t>Moalem-Taylor 2017</t>
  </si>
  <si>
    <t>DN4 NPSI</t>
  </si>
  <si>
    <t>MULTIPLEX</t>
  </si>
  <si>
    <t>CCL11</t>
  </si>
  <si>
    <t xml:space="preserve">CXCL10 </t>
  </si>
  <si>
    <t>CCL2</t>
  </si>
  <si>
    <t>CXCL8</t>
  </si>
  <si>
    <t>IL1RA</t>
  </si>
  <si>
    <t>IL5</t>
  </si>
  <si>
    <t>IL2</t>
  </si>
  <si>
    <t>IL13</t>
  </si>
  <si>
    <t>IL4</t>
  </si>
  <si>
    <t>IL7</t>
  </si>
  <si>
    <t>IL12</t>
  </si>
  <si>
    <t>IL9</t>
  </si>
  <si>
    <t>VEGF</t>
  </si>
  <si>
    <t>PDGF</t>
  </si>
  <si>
    <t>Leukocyte</t>
  </si>
  <si>
    <t>Nageeb 2018</t>
  </si>
  <si>
    <t>Nakamichi  2005</t>
  </si>
  <si>
    <t>Triglycerides</t>
  </si>
  <si>
    <t>HDL</t>
  </si>
  <si>
    <t>LDL</t>
  </si>
  <si>
    <t>Sağir 2021</t>
  </si>
  <si>
    <t>BCTQ SLANSS</t>
  </si>
  <si>
    <t>Sandy-Hindmarch 2022</t>
  </si>
  <si>
    <t>BCTQ NPSI</t>
  </si>
  <si>
    <t>CXCL10</t>
  </si>
  <si>
    <t>IFN-γ</t>
  </si>
  <si>
    <t>IL17</t>
  </si>
  <si>
    <t>CXCL5</t>
  </si>
  <si>
    <t>Fractalkine</t>
  </si>
  <si>
    <t>GM-CSF</t>
  </si>
  <si>
    <t>Sariçam 2018</t>
  </si>
  <si>
    <t>CRP with the turbidimeter</t>
  </si>
  <si>
    <t>NMR</t>
  </si>
  <si>
    <t>LMR</t>
  </si>
  <si>
    <t>Tekan 2016</t>
  </si>
  <si>
    <t>Tutoğlu 2014</t>
  </si>
  <si>
    <t>ESR</t>
  </si>
  <si>
    <t>Utrobičić 2014</t>
  </si>
  <si>
    <t>Fibrinogen</t>
  </si>
  <si>
    <t>Multifibren U test</t>
  </si>
  <si>
    <t>Westergren method</t>
  </si>
  <si>
    <t>Yeo 2010</t>
  </si>
  <si>
    <t>Cholesterol</t>
  </si>
  <si>
    <t>Young-Min 2013</t>
  </si>
  <si>
    <t>Yusifov 2022</t>
  </si>
  <si>
    <t>Fasting glucose</t>
  </si>
  <si>
    <t>IL17A</t>
  </si>
  <si>
    <t>HbA1c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</si>
</sst>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2194-249F-AC40-864C-CF60C00AAA21}">
  <dimension ref="A1:V220"/>
  <sheetViews>
    <sheetView tabSelected="1" workbookViewId="0">
      <selection sqref="A1:V220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25</v>
      </c>
      <c r="C2">
        <v>48</v>
      </c>
      <c r="D2">
        <v>9.5299999999999994</v>
      </c>
      <c r="E2">
        <v>7.3</v>
      </c>
      <c r="F2" t="s">
        <v>24</v>
      </c>
      <c r="G2" t="s">
        <v>24</v>
      </c>
      <c r="H2" t="s">
        <v>24</v>
      </c>
      <c r="I2">
        <v>48</v>
      </c>
      <c r="J2">
        <v>31.65</v>
      </c>
      <c r="K2">
        <v>14.4</v>
      </c>
      <c r="L2">
        <f>40/48</f>
        <v>0.83333333333333337</v>
      </c>
      <c r="M2">
        <f>40/48</f>
        <v>0.83333333333333337</v>
      </c>
      <c r="N2">
        <f t="shared" ref="N2:N87" si="0">AVERAGE(L2:M2)</f>
        <v>0.83333333333333337</v>
      </c>
      <c r="O2">
        <v>48.55</v>
      </c>
      <c r="P2">
        <v>42.33</v>
      </c>
      <c r="Q2">
        <f>AVERAGE(O2:P2)</f>
        <v>45.44</v>
      </c>
      <c r="R2" t="s">
        <v>26</v>
      </c>
      <c r="S2" t="s">
        <v>23</v>
      </c>
      <c r="T2" t="s">
        <v>27</v>
      </c>
      <c r="U2" t="s">
        <v>28</v>
      </c>
      <c r="V2" t="s">
        <v>29</v>
      </c>
    </row>
    <row r="3" spans="1:22" x14ac:dyDescent="0.2">
      <c r="A3" t="s">
        <v>30</v>
      </c>
      <c r="B3" t="s">
        <v>31</v>
      </c>
      <c r="C3">
        <v>64</v>
      </c>
      <c r="D3">
        <v>834.62</v>
      </c>
      <c r="E3">
        <v>539.1</v>
      </c>
      <c r="F3" t="s">
        <v>24</v>
      </c>
      <c r="G3" t="s">
        <v>24</v>
      </c>
      <c r="H3" t="s">
        <v>24</v>
      </c>
      <c r="I3">
        <v>15</v>
      </c>
      <c r="J3">
        <v>471.2</v>
      </c>
      <c r="K3">
        <v>90.3</v>
      </c>
      <c r="L3">
        <f>57/64</f>
        <v>0.890625</v>
      </c>
      <c r="M3" t="s">
        <v>23</v>
      </c>
      <c r="N3">
        <f t="shared" si="0"/>
        <v>0.890625</v>
      </c>
      <c r="O3" t="s">
        <v>23</v>
      </c>
      <c r="P3" t="s">
        <v>23</v>
      </c>
      <c r="Q3" t="s">
        <v>23</v>
      </c>
      <c r="R3" t="s">
        <v>26</v>
      </c>
      <c r="S3" t="s">
        <v>23</v>
      </c>
      <c r="T3" t="s">
        <v>23</v>
      </c>
      <c r="U3" t="s">
        <v>32</v>
      </c>
      <c r="V3" t="s">
        <v>29</v>
      </c>
    </row>
    <row r="4" spans="1:22" x14ac:dyDescent="0.2">
      <c r="A4" t="s">
        <v>33</v>
      </c>
      <c r="B4" t="s">
        <v>34</v>
      </c>
      <c r="C4">
        <v>32</v>
      </c>
      <c r="D4">
        <v>1.1000000000000001</v>
      </c>
      <c r="E4">
        <v>0.8</v>
      </c>
      <c r="F4" t="s">
        <v>24</v>
      </c>
      <c r="G4" t="s">
        <v>24</v>
      </c>
      <c r="H4" t="s">
        <v>24</v>
      </c>
      <c r="I4">
        <v>32</v>
      </c>
      <c r="J4">
        <v>0.31</v>
      </c>
      <c r="K4">
        <v>0.16</v>
      </c>
      <c r="L4">
        <f>21/33</f>
        <v>0.63636363636363635</v>
      </c>
      <c r="M4">
        <f>22/32</f>
        <v>0.6875</v>
      </c>
      <c r="N4">
        <f t="shared" si="0"/>
        <v>0.66193181818181812</v>
      </c>
      <c r="O4">
        <v>43.8</v>
      </c>
      <c r="P4">
        <v>39</v>
      </c>
      <c r="Q4">
        <f t="shared" ref="Q4:Q87" si="1">AVERAGE(O4:P4)</f>
        <v>41.4</v>
      </c>
      <c r="R4" t="s">
        <v>35</v>
      </c>
      <c r="S4">
        <v>1.35</v>
      </c>
      <c r="T4" t="s">
        <v>36</v>
      </c>
      <c r="U4" t="s">
        <v>32</v>
      </c>
      <c r="V4" t="s">
        <v>23</v>
      </c>
    </row>
    <row r="5" spans="1:22" x14ac:dyDescent="0.2">
      <c r="A5" t="s">
        <v>33</v>
      </c>
      <c r="B5" t="s">
        <v>37</v>
      </c>
      <c r="C5">
        <v>32</v>
      </c>
      <c r="D5">
        <v>2.08</v>
      </c>
      <c r="E5">
        <v>0.44</v>
      </c>
      <c r="F5" t="s">
        <v>24</v>
      </c>
      <c r="G5" t="s">
        <v>24</v>
      </c>
      <c r="H5" t="s">
        <v>24</v>
      </c>
      <c r="I5">
        <v>32</v>
      </c>
      <c r="J5">
        <v>0.87</v>
      </c>
      <c r="K5">
        <v>0.17</v>
      </c>
      <c r="L5">
        <f>21/33</f>
        <v>0.63636363636363635</v>
      </c>
      <c r="M5">
        <f>22/32</f>
        <v>0.6875</v>
      </c>
      <c r="N5">
        <f t="shared" si="0"/>
        <v>0.66193181818181812</v>
      </c>
      <c r="O5">
        <v>43.8</v>
      </c>
      <c r="P5">
        <v>39</v>
      </c>
      <c r="Q5">
        <f t="shared" si="1"/>
        <v>41.4</v>
      </c>
      <c r="R5" t="s">
        <v>35</v>
      </c>
      <c r="S5">
        <v>1.35</v>
      </c>
      <c r="T5" t="s">
        <v>36</v>
      </c>
      <c r="U5" t="s">
        <v>38</v>
      </c>
      <c r="V5" t="s">
        <v>23</v>
      </c>
    </row>
    <row r="6" spans="1:22" x14ac:dyDescent="0.2">
      <c r="A6" t="s">
        <v>33</v>
      </c>
      <c r="B6" t="s">
        <v>39</v>
      </c>
      <c r="C6">
        <v>32</v>
      </c>
      <c r="D6">
        <v>12.52</v>
      </c>
      <c r="E6">
        <v>3.65</v>
      </c>
      <c r="F6" t="s">
        <v>24</v>
      </c>
      <c r="G6" t="s">
        <v>24</v>
      </c>
      <c r="H6" t="s">
        <v>24</v>
      </c>
      <c r="I6">
        <v>32</v>
      </c>
      <c r="J6">
        <v>2</v>
      </c>
      <c r="K6">
        <v>0.37</v>
      </c>
      <c r="L6">
        <f>21/33</f>
        <v>0.63636363636363635</v>
      </c>
      <c r="M6">
        <f>22/32</f>
        <v>0.6875</v>
      </c>
      <c r="N6">
        <f t="shared" si="0"/>
        <v>0.66193181818181812</v>
      </c>
      <c r="O6">
        <v>43.8</v>
      </c>
      <c r="P6">
        <v>39</v>
      </c>
      <c r="Q6">
        <f t="shared" si="1"/>
        <v>41.4</v>
      </c>
      <c r="R6" t="s">
        <v>35</v>
      </c>
      <c r="S6">
        <v>1.35</v>
      </c>
      <c r="T6" t="s">
        <v>36</v>
      </c>
      <c r="U6" t="s">
        <v>40</v>
      </c>
      <c r="V6" t="s">
        <v>23</v>
      </c>
    </row>
    <row r="7" spans="1:22" x14ac:dyDescent="0.2">
      <c r="A7" t="s">
        <v>33</v>
      </c>
      <c r="B7" t="s">
        <v>41</v>
      </c>
      <c r="C7">
        <v>32</v>
      </c>
      <c r="D7">
        <v>2.08</v>
      </c>
      <c r="E7">
        <v>0.84</v>
      </c>
      <c r="F7" t="s">
        <v>24</v>
      </c>
      <c r="G7" t="s">
        <v>24</v>
      </c>
      <c r="H7" t="s">
        <v>24</v>
      </c>
      <c r="I7">
        <v>32</v>
      </c>
      <c r="J7">
        <v>0.87</v>
      </c>
      <c r="K7">
        <v>0.44</v>
      </c>
      <c r="L7">
        <f>21/33</f>
        <v>0.63636363636363635</v>
      </c>
      <c r="M7">
        <f>22/32</f>
        <v>0.6875</v>
      </c>
      <c r="N7">
        <f t="shared" si="0"/>
        <v>0.66193181818181812</v>
      </c>
      <c r="O7">
        <v>43.8</v>
      </c>
      <c r="P7">
        <v>39</v>
      </c>
      <c r="Q7">
        <f t="shared" si="1"/>
        <v>41.4</v>
      </c>
      <c r="R7" t="s">
        <v>35</v>
      </c>
      <c r="S7">
        <v>1.35</v>
      </c>
      <c r="T7" t="s">
        <v>36</v>
      </c>
      <c r="U7" t="s">
        <v>32</v>
      </c>
      <c r="V7" t="s">
        <v>23</v>
      </c>
    </row>
    <row r="8" spans="1:22" x14ac:dyDescent="0.2">
      <c r="A8" t="s">
        <v>42</v>
      </c>
      <c r="B8" t="s">
        <v>43</v>
      </c>
      <c r="C8">
        <v>17</v>
      </c>
      <c r="D8">
        <v>0.92500000000000004</v>
      </c>
      <c r="E8">
        <v>1.7037037037037035</v>
      </c>
      <c r="F8" t="s">
        <v>24</v>
      </c>
      <c r="G8" t="s">
        <v>24</v>
      </c>
      <c r="H8" t="s">
        <v>24</v>
      </c>
      <c r="I8">
        <v>15</v>
      </c>
      <c r="J8">
        <v>1.03</v>
      </c>
      <c r="K8">
        <v>1.3925925925925924</v>
      </c>
      <c r="L8">
        <f>8/17</f>
        <v>0.47058823529411764</v>
      </c>
      <c r="M8">
        <f>3/12</f>
        <v>0.25</v>
      </c>
      <c r="N8">
        <f t="shared" si="0"/>
        <v>0.36029411764705882</v>
      </c>
      <c r="O8">
        <v>59.5</v>
      </c>
      <c r="P8">
        <v>60</v>
      </c>
      <c r="Q8">
        <f t="shared" si="1"/>
        <v>59.75</v>
      </c>
      <c r="R8" t="s">
        <v>26</v>
      </c>
      <c r="S8" t="s">
        <v>23</v>
      </c>
      <c r="T8" t="s">
        <v>23</v>
      </c>
      <c r="U8" t="s">
        <v>23</v>
      </c>
      <c r="V8" t="s">
        <v>29</v>
      </c>
    </row>
    <row r="9" spans="1:22" x14ac:dyDescent="0.2">
      <c r="A9" t="s">
        <v>42</v>
      </c>
      <c r="B9" t="s">
        <v>44</v>
      </c>
      <c r="C9">
        <v>17</v>
      </c>
      <c r="D9">
        <v>0.75499999999999989</v>
      </c>
      <c r="E9">
        <v>0.53333333333333333</v>
      </c>
      <c r="F9" t="s">
        <v>24</v>
      </c>
      <c r="G9" t="s">
        <v>24</v>
      </c>
      <c r="H9" t="s">
        <v>24</v>
      </c>
      <c r="I9">
        <v>15</v>
      </c>
      <c r="J9">
        <v>1.0750000000000002</v>
      </c>
      <c r="K9">
        <v>0.99259259259259247</v>
      </c>
      <c r="L9">
        <f>8/17</f>
        <v>0.47058823529411764</v>
      </c>
      <c r="M9">
        <f>3/12</f>
        <v>0.25</v>
      </c>
      <c r="N9">
        <f t="shared" si="0"/>
        <v>0.36029411764705882</v>
      </c>
      <c r="O9">
        <v>59.5</v>
      </c>
      <c r="P9">
        <v>60</v>
      </c>
      <c r="Q9">
        <f t="shared" si="1"/>
        <v>59.75</v>
      </c>
      <c r="R9" t="s">
        <v>26</v>
      </c>
      <c r="S9" t="s">
        <v>23</v>
      </c>
      <c r="T9" t="s">
        <v>23</v>
      </c>
      <c r="U9" t="s">
        <v>23</v>
      </c>
      <c r="V9" t="s">
        <v>29</v>
      </c>
    </row>
    <row r="10" spans="1:22" x14ac:dyDescent="0.2">
      <c r="A10" t="s">
        <v>42</v>
      </c>
      <c r="B10" t="s">
        <v>45</v>
      </c>
      <c r="C10">
        <v>17</v>
      </c>
      <c r="D10">
        <v>11.030000000000001</v>
      </c>
      <c r="E10">
        <v>2.2222222222222219</v>
      </c>
      <c r="F10" t="s">
        <v>24</v>
      </c>
      <c r="G10" t="s">
        <v>24</v>
      </c>
      <c r="H10" t="s">
        <v>24</v>
      </c>
      <c r="I10">
        <v>15</v>
      </c>
      <c r="J10">
        <v>2.5875000000000004</v>
      </c>
      <c r="K10">
        <v>3.4444444444444446</v>
      </c>
      <c r="L10">
        <f>8/17</f>
        <v>0.47058823529411764</v>
      </c>
      <c r="M10">
        <f>3/12</f>
        <v>0.25</v>
      </c>
      <c r="N10">
        <f t="shared" si="0"/>
        <v>0.36029411764705882</v>
      </c>
      <c r="O10">
        <v>59.5</v>
      </c>
      <c r="P10">
        <v>60</v>
      </c>
      <c r="Q10">
        <f t="shared" si="1"/>
        <v>59.75</v>
      </c>
      <c r="R10" t="s">
        <v>26</v>
      </c>
      <c r="S10" t="s">
        <v>23</v>
      </c>
      <c r="T10" t="s">
        <v>23</v>
      </c>
      <c r="U10" t="s">
        <v>23</v>
      </c>
      <c r="V10" t="s">
        <v>29</v>
      </c>
    </row>
    <row r="11" spans="1:22" x14ac:dyDescent="0.2">
      <c r="A11" t="s">
        <v>42</v>
      </c>
      <c r="B11" t="s">
        <v>46</v>
      </c>
      <c r="C11">
        <v>17</v>
      </c>
      <c r="D11">
        <v>5.0274999999999999</v>
      </c>
      <c r="E11">
        <v>1.5481481481481485</v>
      </c>
      <c r="F11" t="s">
        <v>24</v>
      </c>
      <c r="G11" t="s">
        <v>24</v>
      </c>
      <c r="H11" t="s">
        <v>24</v>
      </c>
      <c r="I11">
        <v>15</v>
      </c>
      <c r="J11">
        <v>4.8275000000000006</v>
      </c>
      <c r="K11">
        <v>0.7629629629629624</v>
      </c>
      <c r="L11">
        <f>8/17</f>
        <v>0.47058823529411764</v>
      </c>
      <c r="M11">
        <f>3/12</f>
        <v>0.25</v>
      </c>
      <c r="N11">
        <f t="shared" si="0"/>
        <v>0.36029411764705882</v>
      </c>
      <c r="O11">
        <v>59.5</v>
      </c>
      <c r="P11">
        <v>60</v>
      </c>
      <c r="Q11">
        <f t="shared" si="1"/>
        <v>59.75</v>
      </c>
      <c r="R11" t="s">
        <v>26</v>
      </c>
      <c r="S11" t="s">
        <v>23</v>
      </c>
      <c r="T11" t="s">
        <v>23</v>
      </c>
      <c r="U11" t="s">
        <v>23</v>
      </c>
      <c r="V11" t="s">
        <v>29</v>
      </c>
    </row>
    <row r="12" spans="1:22" x14ac:dyDescent="0.2">
      <c r="A12" t="s">
        <v>42</v>
      </c>
      <c r="B12" t="s">
        <v>47</v>
      </c>
      <c r="C12">
        <v>17</v>
      </c>
      <c r="D12">
        <v>4.5999999999999996</v>
      </c>
      <c r="E12">
        <v>1.63</v>
      </c>
      <c r="F12" t="s">
        <v>24</v>
      </c>
      <c r="G12" t="s">
        <v>24</v>
      </c>
      <c r="H12" t="s">
        <v>24</v>
      </c>
      <c r="I12">
        <v>15</v>
      </c>
      <c r="J12">
        <v>3.9</v>
      </c>
      <c r="K12">
        <v>1.33</v>
      </c>
      <c r="L12">
        <f>8/17</f>
        <v>0.47058823529411764</v>
      </c>
      <c r="M12">
        <f>3/12</f>
        <v>0.25</v>
      </c>
      <c r="N12">
        <f t="shared" si="0"/>
        <v>0.36029411764705882</v>
      </c>
      <c r="O12">
        <v>59.5</v>
      </c>
      <c r="P12">
        <v>60</v>
      </c>
      <c r="Q12">
        <f t="shared" si="1"/>
        <v>59.75</v>
      </c>
      <c r="R12" t="s">
        <v>26</v>
      </c>
      <c r="S12" t="s">
        <v>23</v>
      </c>
      <c r="T12" t="s">
        <v>23</v>
      </c>
      <c r="U12" t="s">
        <v>23</v>
      </c>
      <c r="V12" t="s">
        <v>29</v>
      </c>
    </row>
    <row r="13" spans="1:22" x14ac:dyDescent="0.2">
      <c r="A13" t="s">
        <v>48</v>
      </c>
      <c r="C13">
        <v>189</v>
      </c>
      <c r="F13" t="s">
        <v>24</v>
      </c>
      <c r="I13">
        <v>4568</v>
      </c>
      <c r="L13">
        <f>128/189</f>
        <v>0.67724867724867721</v>
      </c>
      <c r="M13">
        <f>2731/I13</f>
        <v>0.5978546409807356</v>
      </c>
      <c r="N13">
        <f t="shared" si="0"/>
        <v>0.63755165911470635</v>
      </c>
      <c r="O13">
        <v>57</v>
      </c>
      <c r="P13">
        <v>57.5</v>
      </c>
      <c r="Q13">
        <f t="shared" si="1"/>
        <v>57.25</v>
      </c>
      <c r="R13" t="s">
        <v>49</v>
      </c>
      <c r="S13" t="s">
        <v>23</v>
      </c>
      <c r="T13" t="s">
        <v>23</v>
      </c>
      <c r="V13" t="s">
        <v>23</v>
      </c>
    </row>
    <row r="14" spans="1:22" x14ac:dyDescent="0.2">
      <c r="A14" t="s">
        <v>50</v>
      </c>
      <c r="C14">
        <v>158</v>
      </c>
      <c r="F14" t="s">
        <v>24</v>
      </c>
      <c r="I14">
        <v>151</v>
      </c>
      <c r="L14">
        <f>136/158</f>
        <v>0.86075949367088611</v>
      </c>
      <c r="M14">
        <f>116/151</f>
        <v>0.76821192052980136</v>
      </c>
      <c r="N14">
        <f t="shared" si="0"/>
        <v>0.81448570710034374</v>
      </c>
      <c r="O14">
        <v>48.21</v>
      </c>
      <c r="P14">
        <v>45.79</v>
      </c>
      <c r="Q14">
        <f t="shared" si="1"/>
        <v>47</v>
      </c>
      <c r="R14" t="s">
        <v>26</v>
      </c>
      <c r="S14">
        <v>3.02</v>
      </c>
      <c r="T14" t="s">
        <v>23</v>
      </c>
      <c r="V14" t="s">
        <v>23</v>
      </c>
    </row>
    <row r="15" spans="1:22" x14ac:dyDescent="0.2">
      <c r="A15" t="s">
        <v>51</v>
      </c>
      <c r="B15" t="s">
        <v>52</v>
      </c>
      <c r="C15">
        <v>43</v>
      </c>
      <c r="D15">
        <v>1.01</v>
      </c>
      <c r="E15">
        <v>0.14000000000000001</v>
      </c>
      <c r="F15" t="s">
        <v>24</v>
      </c>
      <c r="G15" t="s">
        <v>24</v>
      </c>
      <c r="H15" t="s">
        <v>24</v>
      </c>
      <c r="I15">
        <v>43</v>
      </c>
      <c r="J15">
        <v>1.1100000000000001</v>
      </c>
      <c r="K15">
        <v>0.2</v>
      </c>
      <c r="L15">
        <f>38/43</f>
        <v>0.88372093023255816</v>
      </c>
      <c r="M15">
        <f>36/43</f>
        <v>0.83720930232558144</v>
      </c>
      <c r="N15">
        <f t="shared" si="0"/>
        <v>0.86046511627906974</v>
      </c>
      <c r="O15">
        <v>43.3</v>
      </c>
      <c r="P15">
        <v>41.76</v>
      </c>
      <c r="Q15">
        <f t="shared" si="1"/>
        <v>42.53</v>
      </c>
      <c r="R15" t="s">
        <v>26</v>
      </c>
      <c r="S15">
        <f>30.9/12</f>
        <v>2.5749999999999997</v>
      </c>
      <c r="T15" t="s">
        <v>36</v>
      </c>
      <c r="U15" t="s">
        <v>53</v>
      </c>
      <c r="V15" t="s">
        <v>23</v>
      </c>
    </row>
    <row r="16" spans="1:22" x14ac:dyDescent="0.2">
      <c r="A16" t="s">
        <v>51</v>
      </c>
      <c r="B16" t="s">
        <v>54</v>
      </c>
      <c r="C16">
        <v>43</v>
      </c>
      <c r="D16">
        <v>15.6</v>
      </c>
      <c r="E16">
        <v>7.03</v>
      </c>
      <c r="F16" t="s">
        <v>24</v>
      </c>
      <c r="G16" t="s">
        <v>24</v>
      </c>
      <c r="H16" t="s">
        <v>24</v>
      </c>
      <c r="I16">
        <v>43</v>
      </c>
      <c r="J16">
        <v>11.86</v>
      </c>
      <c r="K16">
        <v>2.1800000000000002</v>
      </c>
      <c r="L16">
        <f>38/43</f>
        <v>0.88372093023255816</v>
      </c>
      <c r="M16">
        <f>36/43</f>
        <v>0.83720930232558144</v>
      </c>
      <c r="N16">
        <f t="shared" si="0"/>
        <v>0.86046511627906974</v>
      </c>
      <c r="O16">
        <v>43.3</v>
      </c>
      <c r="P16">
        <v>41.76</v>
      </c>
      <c r="Q16">
        <f t="shared" si="1"/>
        <v>42.53</v>
      </c>
      <c r="R16" t="s">
        <v>26</v>
      </c>
      <c r="S16">
        <f>30.9/12</f>
        <v>2.5749999999999997</v>
      </c>
      <c r="T16" t="s">
        <v>36</v>
      </c>
      <c r="U16" t="s">
        <v>53</v>
      </c>
      <c r="V16" t="s">
        <v>23</v>
      </c>
    </row>
    <row r="17" spans="1:22" x14ac:dyDescent="0.2">
      <c r="A17" t="s">
        <v>51</v>
      </c>
      <c r="B17" t="s">
        <v>55</v>
      </c>
      <c r="C17">
        <v>43</v>
      </c>
      <c r="D17">
        <v>1.57</v>
      </c>
      <c r="E17">
        <v>0.72</v>
      </c>
      <c r="F17" t="s">
        <v>24</v>
      </c>
      <c r="G17" t="s">
        <v>24</v>
      </c>
      <c r="H17" t="s">
        <v>24</v>
      </c>
      <c r="I17">
        <v>43</v>
      </c>
      <c r="J17">
        <v>1.0900000000000001</v>
      </c>
      <c r="K17">
        <v>0.28000000000000003</v>
      </c>
      <c r="L17">
        <f>38/43</f>
        <v>0.88372093023255816</v>
      </c>
      <c r="M17">
        <f>36/43</f>
        <v>0.83720930232558144</v>
      </c>
      <c r="N17">
        <f t="shared" si="0"/>
        <v>0.86046511627906974</v>
      </c>
      <c r="O17">
        <v>43.3</v>
      </c>
      <c r="P17">
        <v>41.76</v>
      </c>
      <c r="Q17">
        <f t="shared" si="1"/>
        <v>42.53</v>
      </c>
      <c r="R17" t="s">
        <v>26</v>
      </c>
      <c r="S17">
        <f>30.9/12</f>
        <v>2.5749999999999997</v>
      </c>
      <c r="T17" t="s">
        <v>36</v>
      </c>
      <c r="U17" t="s">
        <v>53</v>
      </c>
      <c r="V17" t="s">
        <v>23</v>
      </c>
    </row>
    <row r="18" spans="1:22" x14ac:dyDescent="0.2">
      <c r="A18" t="s">
        <v>56</v>
      </c>
      <c r="B18" t="s">
        <v>25</v>
      </c>
      <c r="C18">
        <v>166</v>
      </c>
      <c r="D18">
        <v>17.64</v>
      </c>
      <c r="E18">
        <v>11.64</v>
      </c>
      <c r="F18" t="s">
        <v>24</v>
      </c>
      <c r="G18" t="s">
        <v>24</v>
      </c>
      <c r="H18" t="s">
        <v>24</v>
      </c>
      <c r="I18">
        <v>80</v>
      </c>
      <c r="J18">
        <v>17.399999999999999</v>
      </c>
      <c r="K18">
        <v>10.1</v>
      </c>
      <c r="L18">
        <f t="shared" ref="L18:L24" si="2">127/166</f>
        <v>0.76506024096385539</v>
      </c>
      <c r="M18">
        <f t="shared" ref="M18:M24" si="3">54/80</f>
        <v>0.67500000000000004</v>
      </c>
      <c r="N18">
        <f t="shared" si="0"/>
        <v>0.72003012048192772</v>
      </c>
      <c r="O18">
        <v>46.19</v>
      </c>
      <c r="P18">
        <v>43</v>
      </c>
      <c r="Q18">
        <f t="shared" si="1"/>
        <v>44.594999999999999</v>
      </c>
      <c r="R18" t="s">
        <v>26</v>
      </c>
      <c r="S18" t="s">
        <v>23</v>
      </c>
      <c r="T18" t="s">
        <v>36</v>
      </c>
      <c r="V18" t="s">
        <v>57</v>
      </c>
    </row>
    <row r="19" spans="1:22" x14ac:dyDescent="0.2">
      <c r="A19" t="s">
        <v>56</v>
      </c>
      <c r="B19" t="s">
        <v>58</v>
      </c>
      <c r="C19">
        <v>166</v>
      </c>
      <c r="D19">
        <v>343.46</v>
      </c>
      <c r="E19">
        <v>162.97</v>
      </c>
      <c r="F19" t="s">
        <v>24</v>
      </c>
      <c r="G19" t="s">
        <v>24</v>
      </c>
      <c r="H19" t="s">
        <v>24</v>
      </c>
      <c r="I19">
        <v>80</v>
      </c>
      <c r="J19">
        <v>325.3</v>
      </c>
      <c r="K19">
        <v>150.30000000000001</v>
      </c>
      <c r="L19">
        <f t="shared" si="2"/>
        <v>0.76506024096385539</v>
      </c>
      <c r="M19">
        <f t="shared" si="3"/>
        <v>0.67500000000000004</v>
      </c>
      <c r="N19">
        <f t="shared" si="0"/>
        <v>0.72003012048192772</v>
      </c>
      <c r="O19">
        <v>46.19</v>
      </c>
      <c r="P19">
        <v>43</v>
      </c>
      <c r="Q19">
        <f t="shared" si="1"/>
        <v>44.594999999999999</v>
      </c>
      <c r="R19" t="s">
        <v>26</v>
      </c>
      <c r="S19" t="s">
        <v>23</v>
      </c>
      <c r="T19" t="s">
        <v>36</v>
      </c>
      <c r="V19" t="s">
        <v>57</v>
      </c>
    </row>
    <row r="20" spans="1:22" x14ac:dyDescent="0.2">
      <c r="A20" t="s">
        <v>56</v>
      </c>
      <c r="B20" t="s">
        <v>59</v>
      </c>
      <c r="C20">
        <v>166</v>
      </c>
      <c r="D20">
        <v>2</v>
      </c>
      <c r="E20">
        <v>0.1</v>
      </c>
      <c r="F20" t="s">
        <v>24</v>
      </c>
      <c r="G20" t="s">
        <v>24</v>
      </c>
      <c r="H20" t="s">
        <v>24</v>
      </c>
      <c r="I20">
        <v>80</v>
      </c>
      <c r="J20">
        <v>2</v>
      </c>
      <c r="K20">
        <v>0.1</v>
      </c>
      <c r="L20">
        <f t="shared" si="2"/>
        <v>0.76506024096385539</v>
      </c>
      <c r="M20">
        <f t="shared" si="3"/>
        <v>0.67500000000000004</v>
      </c>
      <c r="N20">
        <f t="shared" si="0"/>
        <v>0.72003012048192772</v>
      </c>
      <c r="O20">
        <v>46.19</v>
      </c>
      <c r="P20">
        <v>43</v>
      </c>
      <c r="Q20">
        <f t="shared" si="1"/>
        <v>44.594999999999999</v>
      </c>
      <c r="R20" t="s">
        <v>26</v>
      </c>
      <c r="S20" t="s">
        <v>23</v>
      </c>
      <c r="T20" t="s">
        <v>36</v>
      </c>
      <c r="V20" t="s">
        <v>57</v>
      </c>
    </row>
    <row r="21" spans="1:22" x14ac:dyDescent="0.2">
      <c r="A21" t="s">
        <v>56</v>
      </c>
      <c r="B21" t="s">
        <v>60</v>
      </c>
      <c r="C21">
        <v>166</v>
      </c>
      <c r="D21">
        <v>9.1999999999999993</v>
      </c>
      <c r="E21">
        <v>0.4</v>
      </c>
      <c r="F21" t="s">
        <v>24</v>
      </c>
      <c r="G21" t="s">
        <v>24</v>
      </c>
      <c r="H21" t="s">
        <v>24</v>
      </c>
      <c r="I21">
        <v>80</v>
      </c>
      <c r="J21">
        <v>9.1</v>
      </c>
      <c r="K21">
        <v>0.3</v>
      </c>
      <c r="L21">
        <f t="shared" si="2"/>
        <v>0.76506024096385539</v>
      </c>
      <c r="M21">
        <f t="shared" si="3"/>
        <v>0.67500000000000004</v>
      </c>
      <c r="N21">
        <f t="shared" si="0"/>
        <v>0.72003012048192772</v>
      </c>
      <c r="O21">
        <v>46.19</v>
      </c>
      <c r="P21">
        <v>43</v>
      </c>
      <c r="Q21">
        <f t="shared" si="1"/>
        <v>44.594999999999999</v>
      </c>
      <c r="R21" t="s">
        <v>26</v>
      </c>
      <c r="S21" t="s">
        <v>23</v>
      </c>
      <c r="T21" t="s">
        <v>36</v>
      </c>
      <c r="V21" t="s">
        <v>57</v>
      </c>
    </row>
    <row r="22" spans="1:22" x14ac:dyDescent="0.2">
      <c r="A22" t="s">
        <v>56</v>
      </c>
      <c r="B22" t="s">
        <v>61</v>
      </c>
      <c r="C22">
        <v>166</v>
      </c>
      <c r="D22">
        <v>60.01</v>
      </c>
      <c r="E22">
        <v>82.28</v>
      </c>
      <c r="F22" t="s">
        <v>24</v>
      </c>
      <c r="G22" t="s">
        <v>24</v>
      </c>
      <c r="H22" t="s">
        <v>24</v>
      </c>
      <c r="I22">
        <v>80</v>
      </c>
      <c r="J22">
        <v>75.400000000000006</v>
      </c>
      <c r="K22">
        <v>75.8</v>
      </c>
      <c r="L22">
        <f t="shared" si="2"/>
        <v>0.76506024096385539</v>
      </c>
      <c r="M22">
        <f t="shared" si="3"/>
        <v>0.67500000000000004</v>
      </c>
      <c r="N22">
        <f t="shared" si="0"/>
        <v>0.72003012048192772</v>
      </c>
      <c r="O22">
        <v>46.19</v>
      </c>
      <c r="P22">
        <v>43</v>
      </c>
      <c r="Q22">
        <f t="shared" si="1"/>
        <v>44.594999999999999</v>
      </c>
      <c r="R22" t="s">
        <v>26</v>
      </c>
      <c r="S22" t="s">
        <v>23</v>
      </c>
      <c r="T22" t="s">
        <v>36</v>
      </c>
      <c r="V22" t="s">
        <v>57</v>
      </c>
    </row>
    <row r="23" spans="1:22" x14ac:dyDescent="0.2">
      <c r="A23" t="s">
        <v>56</v>
      </c>
      <c r="B23" t="s">
        <v>62</v>
      </c>
      <c r="C23">
        <v>166</v>
      </c>
      <c r="D23">
        <v>12.75</v>
      </c>
      <c r="E23">
        <v>1.35</v>
      </c>
      <c r="F23" t="s">
        <v>24</v>
      </c>
      <c r="G23" t="s">
        <v>24</v>
      </c>
      <c r="H23" t="s">
        <v>24</v>
      </c>
      <c r="I23">
        <v>80</v>
      </c>
      <c r="J23">
        <v>13.5</v>
      </c>
      <c r="K23">
        <v>1.3</v>
      </c>
      <c r="L23">
        <f t="shared" si="2"/>
        <v>0.76506024096385539</v>
      </c>
      <c r="M23">
        <f t="shared" si="3"/>
        <v>0.67500000000000004</v>
      </c>
      <c r="N23">
        <f t="shared" si="0"/>
        <v>0.72003012048192772</v>
      </c>
      <c r="O23">
        <v>46.19</v>
      </c>
      <c r="P23">
        <v>43</v>
      </c>
      <c r="Q23">
        <f t="shared" si="1"/>
        <v>44.594999999999999</v>
      </c>
      <c r="R23" t="s">
        <v>26</v>
      </c>
      <c r="S23" t="s">
        <v>23</v>
      </c>
      <c r="T23" t="s">
        <v>36</v>
      </c>
      <c r="V23" t="s">
        <v>57</v>
      </c>
    </row>
    <row r="24" spans="1:22" x14ac:dyDescent="0.2">
      <c r="A24" t="s">
        <v>56</v>
      </c>
      <c r="B24" t="s">
        <v>63</v>
      </c>
      <c r="C24">
        <v>166</v>
      </c>
      <c r="D24">
        <v>6.83</v>
      </c>
      <c r="E24">
        <v>3.65</v>
      </c>
      <c r="F24" t="s">
        <v>24</v>
      </c>
      <c r="G24" t="s">
        <v>24</v>
      </c>
      <c r="H24" t="s">
        <v>24</v>
      </c>
      <c r="I24">
        <v>80</v>
      </c>
      <c r="J24">
        <v>6.7</v>
      </c>
      <c r="K24">
        <v>3.5</v>
      </c>
      <c r="L24">
        <f t="shared" si="2"/>
        <v>0.76506024096385539</v>
      </c>
      <c r="M24">
        <f t="shared" si="3"/>
        <v>0.67500000000000004</v>
      </c>
      <c r="N24">
        <f t="shared" si="0"/>
        <v>0.72003012048192772</v>
      </c>
      <c r="O24">
        <v>46.19</v>
      </c>
      <c r="P24">
        <v>43</v>
      </c>
      <c r="Q24">
        <f t="shared" si="1"/>
        <v>44.594999999999999</v>
      </c>
      <c r="R24" t="s">
        <v>26</v>
      </c>
      <c r="S24" t="s">
        <v>23</v>
      </c>
      <c r="T24" t="s">
        <v>36</v>
      </c>
      <c r="V24" t="s">
        <v>57</v>
      </c>
    </row>
    <row r="25" spans="1:22" x14ac:dyDescent="0.2">
      <c r="A25" t="s">
        <v>64</v>
      </c>
      <c r="B25" t="s">
        <v>45</v>
      </c>
      <c r="C25">
        <v>100</v>
      </c>
      <c r="D25">
        <v>142.19999999999999</v>
      </c>
      <c r="E25">
        <v>20.6</v>
      </c>
      <c r="F25" t="s">
        <v>24</v>
      </c>
      <c r="G25" t="s">
        <v>24</v>
      </c>
      <c r="H25" t="s">
        <v>24</v>
      </c>
      <c r="I25">
        <v>100</v>
      </c>
      <c r="J25">
        <v>102.4</v>
      </c>
      <c r="K25">
        <v>26.8</v>
      </c>
      <c r="L25">
        <f>70/100</f>
        <v>0.7</v>
      </c>
      <c r="M25">
        <v>0.6</v>
      </c>
      <c r="N25">
        <f t="shared" si="0"/>
        <v>0.64999999999999991</v>
      </c>
      <c r="O25">
        <v>47.5</v>
      </c>
      <c r="P25">
        <v>46.4</v>
      </c>
      <c r="Q25">
        <f t="shared" si="1"/>
        <v>46.95</v>
      </c>
      <c r="R25" t="s">
        <v>26</v>
      </c>
      <c r="S25">
        <v>4.3</v>
      </c>
      <c r="T25" t="s">
        <v>23</v>
      </c>
      <c r="U25" t="s">
        <v>32</v>
      </c>
      <c r="V25" t="s">
        <v>29</v>
      </c>
    </row>
    <row r="26" spans="1:22" x14ac:dyDescent="0.2">
      <c r="A26" t="s">
        <v>64</v>
      </c>
      <c r="B26" t="s">
        <v>65</v>
      </c>
      <c r="C26">
        <v>100</v>
      </c>
      <c r="D26">
        <v>137.69999999999999</v>
      </c>
      <c r="E26">
        <v>18.600000000000001</v>
      </c>
      <c r="F26" t="s">
        <v>24</v>
      </c>
      <c r="G26" t="s">
        <v>24</v>
      </c>
      <c r="H26" t="s">
        <v>24</v>
      </c>
      <c r="I26">
        <v>100</v>
      </c>
      <c r="J26">
        <v>82.3</v>
      </c>
      <c r="K26">
        <v>20</v>
      </c>
      <c r="L26">
        <f>70/100</f>
        <v>0.7</v>
      </c>
      <c r="M26">
        <v>0.6</v>
      </c>
      <c r="N26">
        <f t="shared" si="0"/>
        <v>0.64999999999999991</v>
      </c>
      <c r="O26">
        <v>47.5</v>
      </c>
      <c r="P26">
        <v>46.4</v>
      </c>
      <c r="Q26">
        <f t="shared" si="1"/>
        <v>46.95</v>
      </c>
      <c r="R26" t="s">
        <v>26</v>
      </c>
      <c r="S26">
        <v>4.3</v>
      </c>
      <c r="T26" t="s">
        <v>23</v>
      </c>
      <c r="U26" t="s">
        <v>32</v>
      </c>
      <c r="V26" t="s">
        <v>29</v>
      </c>
    </row>
    <row r="27" spans="1:22" x14ac:dyDescent="0.2">
      <c r="A27" t="s">
        <v>66</v>
      </c>
      <c r="B27" t="s">
        <v>67</v>
      </c>
      <c r="C27">
        <v>41</v>
      </c>
      <c r="D27">
        <v>22.75</v>
      </c>
      <c r="E27">
        <v>21.48</v>
      </c>
      <c r="F27" t="s">
        <v>24</v>
      </c>
      <c r="G27" t="s">
        <v>24</v>
      </c>
      <c r="H27" t="s">
        <v>24</v>
      </c>
      <c r="I27">
        <v>21</v>
      </c>
      <c r="J27">
        <v>21.5</v>
      </c>
      <c r="K27">
        <v>14.81</v>
      </c>
      <c r="L27">
        <f>31/41</f>
        <v>0.75609756097560976</v>
      </c>
      <c r="M27" t="s">
        <v>23</v>
      </c>
      <c r="N27">
        <f t="shared" si="0"/>
        <v>0.75609756097560976</v>
      </c>
      <c r="O27">
        <v>46.7</v>
      </c>
      <c r="P27" t="s">
        <v>23</v>
      </c>
      <c r="Q27">
        <f t="shared" si="1"/>
        <v>46.7</v>
      </c>
      <c r="R27" t="s">
        <v>26</v>
      </c>
      <c r="S27" t="s">
        <v>23</v>
      </c>
      <c r="T27" t="s">
        <v>23</v>
      </c>
      <c r="U27" t="s">
        <v>32</v>
      </c>
      <c r="V27" t="s">
        <v>29</v>
      </c>
    </row>
    <row r="28" spans="1:22" x14ac:dyDescent="0.2">
      <c r="A28" t="s">
        <v>66</v>
      </c>
      <c r="B28" t="s">
        <v>34</v>
      </c>
      <c r="C28">
        <v>41</v>
      </c>
      <c r="D28">
        <v>17.25</v>
      </c>
      <c r="E28">
        <v>5.18</v>
      </c>
      <c r="F28" t="s">
        <v>24</v>
      </c>
      <c r="G28" t="s">
        <v>24</v>
      </c>
      <c r="H28" t="s">
        <v>24</v>
      </c>
      <c r="I28">
        <v>21</v>
      </c>
      <c r="J28">
        <v>17.5</v>
      </c>
      <c r="K28">
        <v>4.4400000000000004</v>
      </c>
      <c r="L28">
        <f>31/41</f>
        <v>0.75609756097560976</v>
      </c>
      <c r="M28" t="s">
        <v>23</v>
      </c>
      <c r="N28">
        <f t="shared" si="0"/>
        <v>0.75609756097560976</v>
      </c>
      <c r="O28">
        <v>46.7</v>
      </c>
      <c r="P28" t="s">
        <v>23</v>
      </c>
      <c r="Q28">
        <f t="shared" si="1"/>
        <v>46.7</v>
      </c>
      <c r="R28" t="s">
        <v>26</v>
      </c>
      <c r="S28" t="s">
        <v>23</v>
      </c>
      <c r="T28" t="s">
        <v>23</v>
      </c>
      <c r="U28" t="s">
        <v>32</v>
      </c>
      <c r="V28" t="s">
        <v>29</v>
      </c>
    </row>
    <row r="29" spans="1:22" x14ac:dyDescent="0.2">
      <c r="A29" t="s">
        <v>66</v>
      </c>
      <c r="B29" t="s">
        <v>68</v>
      </c>
      <c r="C29">
        <v>41</v>
      </c>
      <c r="D29">
        <v>37.25</v>
      </c>
      <c r="E29">
        <v>21.48</v>
      </c>
      <c r="F29" t="s">
        <v>24</v>
      </c>
      <c r="G29" t="s">
        <v>24</v>
      </c>
      <c r="H29" t="s">
        <v>24</v>
      </c>
      <c r="I29">
        <v>21</v>
      </c>
      <c r="J29">
        <v>37</v>
      </c>
      <c r="K29">
        <v>13.33</v>
      </c>
      <c r="L29">
        <f>31/41</f>
        <v>0.75609756097560976</v>
      </c>
      <c r="M29" t="s">
        <v>23</v>
      </c>
      <c r="N29">
        <f t="shared" si="0"/>
        <v>0.75609756097560976</v>
      </c>
      <c r="O29">
        <v>46.7</v>
      </c>
      <c r="P29" t="s">
        <v>23</v>
      </c>
      <c r="Q29">
        <f t="shared" si="1"/>
        <v>46.7</v>
      </c>
      <c r="R29" t="s">
        <v>26</v>
      </c>
      <c r="S29" t="s">
        <v>23</v>
      </c>
      <c r="T29" t="s">
        <v>23</v>
      </c>
      <c r="U29" t="s">
        <v>32</v>
      </c>
      <c r="V29" t="s">
        <v>29</v>
      </c>
    </row>
    <row r="30" spans="1:22" x14ac:dyDescent="0.2">
      <c r="A30" t="s">
        <v>66</v>
      </c>
      <c r="B30" t="s">
        <v>37</v>
      </c>
      <c r="C30">
        <v>41</v>
      </c>
      <c r="D30">
        <v>95.75</v>
      </c>
      <c r="E30">
        <v>51.111111111111107</v>
      </c>
      <c r="F30" t="s">
        <v>24</v>
      </c>
      <c r="G30" t="s">
        <v>24</v>
      </c>
      <c r="H30" t="s">
        <v>24</v>
      </c>
      <c r="I30">
        <v>21</v>
      </c>
      <c r="J30">
        <v>40</v>
      </c>
      <c r="K30">
        <v>32.592592592592588</v>
      </c>
      <c r="L30">
        <f>31/41</f>
        <v>0.75609756097560976</v>
      </c>
      <c r="M30" t="s">
        <v>23</v>
      </c>
      <c r="N30">
        <f t="shared" si="0"/>
        <v>0.75609756097560976</v>
      </c>
      <c r="O30">
        <v>46.7</v>
      </c>
      <c r="P30" t="s">
        <v>23</v>
      </c>
      <c r="Q30">
        <f t="shared" si="1"/>
        <v>46.7</v>
      </c>
      <c r="R30" t="s">
        <v>26</v>
      </c>
      <c r="S30" t="s">
        <v>23</v>
      </c>
      <c r="T30" t="s">
        <v>23</v>
      </c>
      <c r="U30" t="s">
        <v>32</v>
      </c>
      <c r="V30" t="s">
        <v>29</v>
      </c>
    </row>
    <row r="31" spans="1:22" x14ac:dyDescent="0.2">
      <c r="A31" t="s">
        <v>69</v>
      </c>
      <c r="B31" t="s">
        <v>70</v>
      </c>
      <c r="C31">
        <v>300</v>
      </c>
      <c r="D31">
        <v>4.53</v>
      </c>
      <c r="E31">
        <v>1.27</v>
      </c>
      <c r="F31" t="s">
        <v>24</v>
      </c>
      <c r="G31" t="s">
        <v>24</v>
      </c>
      <c r="H31" t="s">
        <v>24</v>
      </c>
      <c r="I31">
        <v>100</v>
      </c>
      <c r="J31">
        <v>4.2</v>
      </c>
      <c r="K31">
        <v>0.8</v>
      </c>
      <c r="L31">
        <v>0.75</v>
      </c>
      <c r="M31">
        <v>0.78</v>
      </c>
      <c r="N31">
        <v>0.76</v>
      </c>
      <c r="O31">
        <v>53.93</v>
      </c>
      <c r="P31">
        <v>42</v>
      </c>
      <c r="Q31">
        <v>50.95</v>
      </c>
      <c r="R31" t="s">
        <v>26</v>
      </c>
      <c r="S31" t="s">
        <v>23</v>
      </c>
      <c r="T31" t="s">
        <v>36</v>
      </c>
      <c r="U31" t="s">
        <v>23</v>
      </c>
      <c r="V31" t="s">
        <v>57</v>
      </c>
    </row>
    <row r="32" spans="1:22" x14ac:dyDescent="0.2">
      <c r="A32" t="s">
        <v>69</v>
      </c>
      <c r="B32" t="s">
        <v>70</v>
      </c>
      <c r="C32">
        <v>100</v>
      </c>
      <c r="D32">
        <v>4.4000000000000004</v>
      </c>
      <c r="E32">
        <v>1.2</v>
      </c>
      <c r="F32">
        <v>100</v>
      </c>
      <c r="G32">
        <v>4.2</v>
      </c>
      <c r="H32">
        <v>0.8</v>
      </c>
      <c r="I32">
        <f t="shared" ref="I32:I50" si="4">100/3</f>
        <v>33.333333333333336</v>
      </c>
      <c r="J32">
        <f t="shared" ref="J32:J34" si="5">G32</f>
        <v>4.2</v>
      </c>
      <c r="K32">
        <f t="shared" ref="K32:K62" si="6">H32/(SQRT(3))</f>
        <v>0.46188021535170065</v>
      </c>
      <c r="L32">
        <f>66/(66+34)</f>
        <v>0.66</v>
      </c>
      <c r="M32">
        <f t="shared" ref="M32:M50" si="7">78/100</f>
        <v>0.78</v>
      </c>
      <c r="N32">
        <f t="shared" ref="N32" si="8">AVERAGE(L32:M32)</f>
        <v>0.72</v>
      </c>
      <c r="O32">
        <v>56</v>
      </c>
      <c r="P32">
        <v>42</v>
      </c>
      <c r="Q32">
        <f t="shared" ref="Q32" si="9">AVERAGE(O32:P32)</f>
        <v>49</v>
      </c>
      <c r="R32" t="s">
        <v>26</v>
      </c>
      <c r="S32" t="s">
        <v>23</v>
      </c>
      <c r="T32" t="s">
        <v>36</v>
      </c>
      <c r="U32" t="s">
        <v>23</v>
      </c>
      <c r="V32" t="s">
        <v>57</v>
      </c>
    </row>
    <row r="33" spans="1:22" x14ac:dyDescent="0.2">
      <c r="A33" t="s">
        <v>69</v>
      </c>
      <c r="B33" t="s">
        <v>70</v>
      </c>
      <c r="C33">
        <v>100</v>
      </c>
      <c r="D33">
        <v>4.5</v>
      </c>
      <c r="E33">
        <v>1.4</v>
      </c>
      <c r="F33">
        <v>100</v>
      </c>
      <c r="G33">
        <v>4.2</v>
      </c>
      <c r="H33">
        <v>0.8</v>
      </c>
      <c r="I33">
        <f t="shared" si="4"/>
        <v>33.333333333333336</v>
      </c>
      <c r="J33">
        <f t="shared" si="5"/>
        <v>4.2</v>
      </c>
      <c r="K33">
        <f t="shared" si="6"/>
        <v>0.46188021535170065</v>
      </c>
      <c r="L33">
        <f>84/100</f>
        <v>0.84</v>
      </c>
      <c r="M33">
        <f t="shared" si="7"/>
        <v>0.78</v>
      </c>
      <c r="N33">
        <f t="shared" si="0"/>
        <v>0.81</v>
      </c>
      <c r="O33">
        <v>53</v>
      </c>
      <c r="P33">
        <v>42</v>
      </c>
      <c r="Q33">
        <f t="shared" si="1"/>
        <v>47.5</v>
      </c>
      <c r="R33" t="s">
        <v>26</v>
      </c>
      <c r="S33" t="s">
        <v>23</v>
      </c>
      <c r="T33" t="s">
        <v>36</v>
      </c>
      <c r="U33" t="s">
        <v>23</v>
      </c>
      <c r="V33" t="s">
        <v>57</v>
      </c>
    </row>
    <row r="34" spans="1:22" x14ac:dyDescent="0.2">
      <c r="A34" t="s">
        <v>69</v>
      </c>
      <c r="B34" t="s">
        <v>70</v>
      </c>
      <c r="C34">
        <v>100</v>
      </c>
      <c r="D34">
        <v>4.7</v>
      </c>
      <c r="E34">
        <v>1.2</v>
      </c>
      <c r="F34">
        <v>100</v>
      </c>
      <c r="G34">
        <v>4.2</v>
      </c>
      <c r="H34">
        <v>0.8</v>
      </c>
      <c r="I34">
        <f t="shared" si="4"/>
        <v>33.333333333333336</v>
      </c>
      <c r="J34">
        <f t="shared" si="5"/>
        <v>4.2</v>
      </c>
      <c r="K34">
        <f t="shared" si="6"/>
        <v>0.46188021535170065</v>
      </c>
      <c r="L34">
        <f>76/100</f>
        <v>0.76</v>
      </c>
      <c r="M34">
        <f t="shared" si="7"/>
        <v>0.78</v>
      </c>
      <c r="N34">
        <f t="shared" si="0"/>
        <v>0.77</v>
      </c>
      <c r="O34">
        <v>53.8</v>
      </c>
      <c r="P34">
        <v>42</v>
      </c>
      <c r="Q34">
        <f t="shared" si="1"/>
        <v>47.9</v>
      </c>
      <c r="R34" t="s">
        <v>26</v>
      </c>
      <c r="S34" t="s">
        <v>23</v>
      </c>
      <c r="T34" t="s">
        <v>36</v>
      </c>
      <c r="U34" t="s">
        <v>23</v>
      </c>
      <c r="V34" t="s">
        <v>57</v>
      </c>
    </row>
    <row r="35" spans="1:22" x14ac:dyDescent="0.2">
      <c r="A35" t="s">
        <v>69</v>
      </c>
      <c r="B35" t="s">
        <v>71</v>
      </c>
      <c r="C35">
        <v>300</v>
      </c>
      <c r="D35">
        <v>2.0299999999999998</v>
      </c>
      <c r="E35">
        <v>0.48</v>
      </c>
      <c r="F35" t="s">
        <v>24</v>
      </c>
      <c r="G35" t="s">
        <v>24</v>
      </c>
      <c r="H35" t="s">
        <v>24</v>
      </c>
      <c r="I35">
        <v>100</v>
      </c>
      <c r="J35">
        <v>2.5499999999999998</v>
      </c>
      <c r="K35">
        <v>0.48</v>
      </c>
      <c r="L35">
        <v>0.75</v>
      </c>
      <c r="M35">
        <v>0.78</v>
      </c>
      <c r="N35">
        <v>0.76</v>
      </c>
      <c r="O35">
        <v>53.93</v>
      </c>
      <c r="P35">
        <v>42</v>
      </c>
      <c r="Q35">
        <v>50.95</v>
      </c>
      <c r="R35" t="s">
        <v>26</v>
      </c>
      <c r="S35" t="s">
        <v>23</v>
      </c>
      <c r="T35" t="s">
        <v>36</v>
      </c>
      <c r="U35" t="s">
        <v>23</v>
      </c>
      <c r="V35" t="s">
        <v>57</v>
      </c>
    </row>
    <row r="36" spans="1:22" x14ac:dyDescent="0.2">
      <c r="A36" t="s">
        <v>69</v>
      </c>
      <c r="B36" t="s">
        <v>71</v>
      </c>
      <c r="C36">
        <v>100</v>
      </c>
      <c r="D36">
        <v>2.02</v>
      </c>
      <c r="E36">
        <v>0.54</v>
      </c>
      <c r="F36">
        <v>100</v>
      </c>
      <c r="G36">
        <v>2.5499999999999998</v>
      </c>
      <c r="H36">
        <v>0.48</v>
      </c>
      <c r="I36">
        <f t="shared" si="4"/>
        <v>33.333333333333336</v>
      </c>
      <c r="J36">
        <f t="shared" ref="J36:J38" si="10">G36</f>
        <v>2.5499999999999998</v>
      </c>
      <c r="K36">
        <f t="shared" ref="K36:K38" si="11">H36/(SQRT(3))</f>
        <v>0.27712812921102037</v>
      </c>
      <c r="L36">
        <f>66/(66+34)</f>
        <v>0.66</v>
      </c>
      <c r="M36">
        <f t="shared" si="7"/>
        <v>0.78</v>
      </c>
      <c r="N36">
        <f t="shared" si="0"/>
        <v>0.72</v>
      </c>
      <c r="O36">
        <v>56</v>
      </c>
      <c r="P36">
        <v>42</v>
      </c>
      <c r="Q36">
        <f t="shared" si="1"/>
        <v>49</v>
      </c>
      <c r="R36" t="s">
        <v>26</v>
      </c>
      <c r="S36" t="s">
        <v>23</v>
      </c>
      <c r="T36" t="s">
        <v>36</v>
      </c>
      <c r="U36" t="s">
        <v>23</v>
      </c>
      <c r="V36" t="s">
        <v>57</v>
      </c>
    </row>
    <row r="37" spans="1:22" x14ac:dyDescent="0.2">
      <c r="A37" t="s">
        <v>69</v>
      </c>
      <c r="B37" t="s">
        <v>71</v>
      </c>
      <c r="C37">
        <v>100</v>
      </c>
      <c r="D37">
        <v>2.0299999999999998</v>
      </c>
      <c r="E37">
        <v>0.52</v>
      </c>
      <c r="F37">
        <v>100</v>
      </c>
      <c r="G37">
        <v>2.5499999999999998</v>
      </c>
      <c r="H37">
        <v>0.48</v>
      </c>
      <c r="I37">
        <f t="shared" si="4"/>
        <v>33.333333333333336</v>
      </c>
      <c r="J37">
        <f t="shared" si="10"/>
        <v>2.5499999999999998</v>
      </c>
      <c r="K37">
        <f t="shared" si="11"/>
        <v>0.27712812921102037</v>
      </c>
      <c r="L37">
        <f>84/100</f>
        <v>0.84</v>
      </c>
      <c r="M37">
        <f t="shared" si="7"/>
        <v>0.78</v>
      </c>
      <c r="N37">
        <f t="shared" si="0"/>
        <v>0.81</v>
      </c>
      <c r="O37">
        <v>53</v>
      </c>
      <c r="P37">
        <v>42</v>
      </c>
      <c r="Q37">
        <f t="shared" si="1"/>
        <v>47.5</v>
      </c>
      <c r="R37" t="s">
        <v>26</v>
      </c>
      <c r="S37" t="s">
        <v>23</v>
      </c>
      <c r="T37" t="s">
        <v>36</v>
      </c>
      <c r="U37" t="s">
        <v>23</v>
      </c>
      <c r="V37" t="s">
        <v>57</v>
      </c>
    </row>
    <row r="38" spans="1:22" x14ac:dyDescent="0.2">
      <c r="A38" t="s">
        <v>69</v>
      </c>
      <c r="B38" t="s">
        <v>71</v>
      </c>
      <c r="C38">
        <v>100</v>
      </c>
      <c r="D38">
        <v>2.04</v>
      </c>
      <c r="E38">
        <v>0.36</v>
      </c>
      <c r="F38">
        <v>100</v>
      </c>
      <c r="G38">
        <v>2.5499999999999998</v>
      </c>
      <c r="H38">
        <v>0.48</v>
      </c>
      <c r="I38">
        <f t="shared" si="4"/>
        <v>33.333333333333336</v>
      </c>
      <c r="J38">
        <f t="shared" si="10"/>
        <v>2.5499999999999998</v>
      </c>
      <c r="K38">
        <f t="shared" si="11"/>
        <v>0.27712812921102037</v>
      </c>
      <c r="L38">
        <f>76/100</f>
        <v>0.76</v>
      </c>
      <c r="M38">
        <f t="shared" si="7"/>
        <v>0.78</v>
      </c>
      <c r="N38">
        <f t="shared" si="0"/>
        <v>0.77</v>
      </c>
      <c r="O38">
        <v>53.8</v>
      </c>
      <c r="P38">
        <v>42</v>
      </c>
      <c r="Q38">
        <f t="shared" si="1"/>
        <v>47.9</v>
      </c>
      <c r="R38" t="s">
        <v>26</v>
      </c>
      <c r="S38" t="s">
        <v>23</v>
      </c>
      <c r="T38" t="s">
        <v>36</v>
      </c>
      <c r="U38" t="s">
        <v>23</v>
      </c>
      <c r="V38" t="s">
        <v>57</v>
      </c>
    </row>
    <row r="39" spans="1:22" x14ac:dyDescent="0.2">
      <c r="A39" t="s">
        <v>69</v>
      </c>
      <c r="B39" t="s">
        <v>72</v>
      </c>
      <c r="C39">
        <v>300</v>
      </c>
      <c r="D39">
        <v>0.67300000000000004</v>
      </c>
      <c r="E39">
        <v>0.17699999999999999</v>
      </c>
      <c r="F39" t="s">
        <v>24</v>
      </c>
      <c r="G39" t="s">
        <v>24</v>
      </c>
      <c r="H39" t="s">
        <v>24</v>
      </c>
      <c r="I39">
        <v>100</v>
      </c>
      <c r="J39">
        <v>0.79</v>
      </c>
      <c r="K39">
        <v>0.76</v>
      </c>
      <c r="L39">
        <v>0.75</v>
      </c>
      <c r="M39">
        <v>0.78</v>
      </c>
      <c r="N39">
        <v>0.76</v>
      </c>
      <c r="O39">
        <v>53.93</v>
      </c>
      <c r="P39">
        <v>42</v>
      </c>
      <c r="Q39">
        <v>50.95</v>
      </c>
      <c r="R39" t="s">
        <v>26</v>
      </c>
      <c r="S39" t="s">
        <v>23</v>
      </c>
      <c r="T39" t="s">
        <v>36</v>
      </c>
      <c r="U39" t="s">
        <v>23</v>
      </c>
      <c r="V39" t="s">
        <v>57</v>
      </c>
    </row>
    <row r="40" spans="1:22" x14ac:dyDescent="0.2">
      <c r="A40" t="s">
        <v>69</v>
      </c>
      <c r="B40" t="s">
        <v>72</v>
      </c>
      <c r="C40">
        <v>100</v>
      </c>
      <c r="D40">
        <v>0.64</v>
      </c>
      <c r="E40">
        <v>0.18</v>
      </c>
      <c r="F40">
        <v>100</v>
      </c>
      <c r="G40">
        <v>0.79</v>
      </c>
      <c r="H40">
        <v>0.76</v>
      </c>
      <c r="I40">
        <f t="shared" si="4"/>
        <v>33.333333333333336</v>
      </c>
      <c r="J40">
        <f t="shared" ref="J40:J42" si="12">G40</f>
        <v>0.79</v>
      </c>
      <c r="K40">
        <f t="shared" ref="K40:K42" si="13">H40/(SQRT(3))</f>
        <v>0.4387862045841156</v>
      </c>
      <c r="L40">
        <f>66/(66+34)</f>
        <v>0.66</v>
      </c>
      <c r="M40">
        <f t="shared" si="7"/>
        <v>0.78</v>
      </c>
      <c r="N40">
        <f t="shared" si="0"/>
        <v>0.72</v>
      </c>
      <c r="O40">
        <v>56</v>
      </c>
      <c r="P40">
        <v>42</v>
      </c>
      <c r="Q40">
        <f t="shared" si="1"/>
        <v>49</v>
      </c>
      <c r="R40" t="s">
        <v>26</v>
      </c>
      <c r="S40" t="s">
        <v>23</v>
      </c>
      <c r="T40" t="s">
        <v>36</v>
      </c>
      <c r="U40" t="s">
        <v>23</v>
      </c>
      <c r="V40" t="s">
        <v>57</v>
      </c>
    </row>
    <row r="41" spans="1:22" x14ac:dyDescent="0.2">
      <c r="A41" t="s">
        <v>69</v>
      </c>
      <c r="B41" t="s">
        <v>72</v>
      </c>
      <c r="C41">
        <v>100</v>
      </c>
      <c r="D41">
        <v>0.7</v>
      </c>
      <c r="E41">
        <v>0.17</v>
      </c>
      <c r="F41">
        <v>100</v>
      </c>
      <c r="G41">
        <v>0.79</v>
      </c>
      <c r="H41">
        <v>0.76</v>
      </c>
      <c r="I41">
        <f t="shared" si="4"/>
        <v>33.333333333333336</v>
      </c>
      <c r="J41">
        <f t="shared" si="12"/>
        <v>0.79</v>
      </c>
      <c r="K41">
        <f t="shared" si="13"/>
        <v>0.4387862045841156</v>
      </c>
      <c r="L41">
        <f>84/100</f>
        <v>0.84</v>
      </c>
      <c r="M41">
        <f t="shared" si="7"/>
        <v>0.78</v>
      </c>
      <c r="N41">
        <f t="shared" si="0"/>
        <v>0.81</v>
      </c>
      <c r="O41">
        <v>53</v>
      </c>
      <c r="P41">
        <v>42</v>
      </c>
      <c r="Q41">
        <f t="shared" si="1"/>
        <v>47.5</v>
      </c>
      <c r="R41" t="s">
        <v>26</v>
      </c>
      <c r="S41" t="s">
        <v>23</v>
      </c>
      <c r="T41" t="s">
        <v>36</v>
      </c>
      <c r="U41" t="s">
        <v>23</v>
      </c>
      <c r="V41" t="s">
        <v>57</v>
      </c>
    </row>
    <row r="42" spans="1:22" x14ac:dyDescent="0.2">
      <c r="A42" t="s">
        <v>69</v>
      </c>
      <c r="B42" t="s">
        <v>72</v>
      </c>
      <c r="C42">
        <v>100</v>
      </c>
      <c r="D42">
        <v>0.7</v>
      </c>
      <c r="E42">
        <v>0.18</v>
      </c>
      <c r="F42">
        <v>100</v>
      </c>
      <c r="G42">
        <v>0.79</v>
      </c>
      <c r="H42">
        <v>0.76</v>
      </c>
      <c r="I42">
        <f t="shared" si="4"/>
        <v>33.333333333333336</v>
      </c>
      <c r="J42">
        <f t="shared" si="12"/>
        <v>0.79</v>
      </c>
      <c r="K42">
        <f t="shared" si="13"/>
        <v>0.4387862045841156</v>
      </c>
      <c r="L42">
        <f>76/100</f>
        <v>0.76</v>
      </c>
      <c r="M42">
        <f t="shared" si="7"/>
        <v>0.78</v>
      </c>
      <c r="N42">
        <f t="shared" si="0"/>
        <v>0.77</v>
      </c>
      <c r="O42">
        <v>53.8</v>
      </c>
      <c r="P42">
        <v>42</v>
      </c>
      <c r="Q42">
        <f t="shared" si="1"/>
        <v>47.9</v>
      </c>
      <c r="R42" t="s">
        <v>26</v>
      </c>
      <c r="S42" t="s">
        <v>23</v>
      </c>
      <c r="T42" t="s">
        <v>36</v>
      </c>
      <c r="U42" t="s">
        <v>23</v>
      </c>
      <c r="V42" t="s">
        <v>57</v>
      </c>
    </row>
    <row r="43" spans="1:22" x14ac:dyDescent="0.2">
      <c r="A43" t="s">
        <v>69</v>
      </c>
      <c r="B43" t="s">
        <v>73</v>
      </c>
      <c r="C43">
        <v>300</v>
      </c>
      <c r="D43">
        <v>339.7</v>
      </c>
      <c r="E43">
        <v>263.20999999999998</v>
      </c>
      <c r="F43" t="s">
        <v>24</v>
      </c>
      <c r="G43" t="s">
        <v>24</v>
      </c>
      <c r="H43" t="s">
        <v>24</v>
      </c>
      <c r="I43">
        <v>100</v>
      </c>
      <c r="J43">
        <v>278.60000000000002</v>
      </c>
      <c r="K43">
        <v>47.7</v>
      </c>
      <c r="L43">
        <v>0.75</v>
      </c>
      <c r="M43">
        <v>0.78</v>
      </c>
      <c r="N43">
        <v>0.76</v>
      </c>
      <c r="O43">
        <v>53.93</v>
      </c>
      <c r="P43">
        <v>42</v>
      </c>
      <c r="Q43">
        <v>50.95</v>
      </c>
      <c r="R43" t="s">
        <v>26</v>
      </c>
      <c r="S43" t="s">
        <v>23</v>
      </c>
      <c r="T43" t="s">
        <v>36</v>
      </c>
      <c r="U43" t="s">
        <v>23</v>
      </c>
      <c r="V43" t="s">
        <v>57</v>
      </c>
    </row>
    <row r="44" spans="1:22" x14ac:dyDescent="0.2">
      <c r="A44" t="s">
        <v>69</v>
      </c>
      <c r="B44" t="s">
        <v>73</v>
      </c>
      <c r="C44">
        <v>100</v>
      </c>
      <c r="D44">
        <v>317.39999999999998</v>
      </c>
      <c r="E44">
        <v>56.6</v>
      </c>
      <c r="F44">
        <v>100</v>
      </c>
      <c r="G44">
        <v>278.60000000000002</v>
      </c>
      <c r="H44">
        <v>47.7</v>
      </c>
      <c r="I44">
        <f t="shared" si="4"/>
        <v>33.333333333333336</v>
      </c>
      <c r="J44">
        <f t="shared" ref="J44:J46" si="14">G44</f>
        <v>278.60000000000002</v>
      </c>
      <c r="K44">
        <f t="shared" ref="K44:K46" si="15">H44/(SQRT(3))</f>
        <v>27.539607840345152</v>
      </c>
      <c r="L44">
        <f>66/(66+34)</f>
        <v>0.66</v>
      </c>
      <c r="M44">
        <f t="shared" si="7"/>
        <v>0.78</v>
      </c>
      <c r="N44">
        <f t="shared" si="0"/>
        <v>0.72</v>
      </c>
      <c r="O44">
        <v>56</v>
      </c>
      <c r="P44">
        <v>42</v>
      </c>
      <c r="Q44">
        <f t="shared" si="1"/>
        <v>49</v>
      </c>
      <c r="R44" t="s">
        <v>26</v>
      </c>
      <c r="S44" t="s">
        <v>23</v>
      </c>
      <c r="T44" t="s">
        <v>36</v>
      </c>
      <c r="U44" t="s">
        <v>23</v>
      </c>
      <c r="V44" t="s">
        <v>57</v>
      </c>
    </row>
    <row r="45" spans="1:22" x14ac:dyDescent="0.2">
      <c r="A45" t="s">
        <v>69</v>
      </c>
      <c r="B45" t="s">
        <v>73</v>
      </c>
      <c r="C45">
        <v>100</v>
      </c>
      <c r="D45">
        <v>372.6</v>
      </c>
      <c r="E45">
        <v>449.2</v>
      </c>
      <c r="F45">
        <v>100</v>
      </c>
      <c r="G45">
        <v>278.60000000000002</v>
      </c>
      <c r="H45">
        <v>47.7</v>
      </c>
      <c r="I45">
        <f t="shared" si="4"/>
        <v>33.333333333333336</v>
      </c>
      <c r="J45">
        <f t="shared" si="14"/>
        <v>278.60000000000002</v>
      </c>
      <c r="K45">
        <f t="shared" si="15"/>
        <v>27.539607840345152</v>
      </c>
      <c r="L45">
        <f>84/100</f>
        <v>0.84</v>
      </c>
      <c r="M45">
        <f t="shared" si="7"/>
        <v>0.78</v>
      </c>
      <c r="N45">
        <f t="shared" si="0"/>
        <v>0.81</v>
      </c>
      <c r="O45">
        <v>53</v>
      </c>
      <c r="P45">
        <v>42</v>
      </c>
      <c r="Q45">
        <f t="shared" si="1"/>
        <v>47.5</v>
      </c>
      <c r="R45" t="s">
        <v>26</v>
      </c>
      <c r="S45" t="s">
        <v>23</v>
      </c>
      <c r="T45" t="s">
        <v>36</v>
      </c>
      <c r="U45" t="s">
        <v>23</v>
      </c>
      <c r="V45" t="s">
        <v>57</v>
      </c>
    </row>
    <row r="46" spans="1:22" x14ac:dyDescent="0.2">
      <c r="A46" t="s">
        <v>69</v>
      </c>
      <c r="B46" t="s">
        <v>73</v>
      </c>
      <c r="C46">
        <v>100</v>
      </c>
      <c r="D46">
        <v>329.1</v>
      </c>
      <c r="E46">
        <v>50.4</v>
      </c>
      <c r="F46">
        <v>100</v>
      </c>
      <c r="G46">
        <v>278.60000000000002</v>
      </c>
      <c r="H46">
        <v>47.7</v>
      </c>
      <c r="I46">
        <f t="shared" si="4"/>
        <v>33.333333333333336</v>
      </c>
      <c r="J46">
        <f t="shared" si="14"/>
        <v>278.60000000000002</v>
      </c>
      <c r="K46">
        <f t="shared" si="15"/>
        <v>27.539607840345152</v>
      </c>
      <c r="L46">
        <f>76/100</f>
        <v>0.76</v>
      </c>
      <c r="M46">
        <f t="shared" si="7"/>
        <v>0.78</v>
      </c>
      <c r="N46">
        <f t="shared" si="0"/>
        <v>0.77</v>
      </c>
      <c r="O46">
        <v>53.8</v>
      </c>
      <c r="P46">
        <v>42</v>
      </c>
      <c r="Q46">
        <f t="shared" si="1"/>
        <v>47.9</v>
      </c>
      <c r="R46" t="s">
        <v>26</v>
      </c>
      <c r="S46" t="s">
        <v>23</v>
      </c>
      <c r="T46" t="s">
        <v>36</v>
      </c>
      <c r="U46" t="s">
        <v>23</v>
      </c>
      <c r="V46" t="s">
        <v>57</v>
      </c>
    </row>
    <row r="47" spans="1:22" x14ac:dyDescent="0.2">
      <c r="A47" t="s">
        <v>69</v>
      </c>
      <c r="B47" t="s">
        <v>74</v>
      </c>
      <c r="C47">
        <v>300</v>
      </c>
      <c r="D47">
        <v>781.73</v>
      </c>
      <c r="E47">
        <v>528.71</v>
      </c>
      <c r="F47" t="s">
        <v>24</v>
      </c>
      <c r="G47" t="s">
        <v>24</v>
      </c>
      <c r="H47" t="s">
        <v>24</v>
      </c>
      <c r="I47">
        <v>100</v>
      </c>
      <c r="J47">
        <v>469.5</v>
      </c>
      <c r="K47">
        <v>167.7</v>
      </c>
      <c r="L47">
        <v>0.75</v>
      </c>
      <c r="M47">
        <v>0.78</v>
      </c>
      <c r="N47">
        <v>0.76</v>
      </c>
      <c r="O47">
        <v>53.93</v>
      </c>
      <c r="P47">
        <v>42</v>
      </c>
      <c r="Q47">
        <v>50.95</v>
      </c>
      <c r="R47" t="s">
        <v>26</v>
      </c>
      <c r="S47" t="s">
        <v>23</v>
      </c>
      <c r="T47" t="s">
        <v>36</v>
      </c>
      <c r="U47" t="s">
        <v>23</v>
      </c>
      <c r="V47" t="s">
        <v>57</v>
      </c>
    </row>
    <row r="48" spans="1:22" x14ac:dyDescent="0.2">
      <c r="A48" t="s">
        <v>69</v>
      </c>
      <c r="B48" t="s">
        <v>74</v>
      </c>
      <c r="C48">
        <v>100</v>
      </c>
      <c r="D48">
        <v>747.1</v>
      </c>
      <c r="E48">
        <v>329.5</v>
      </c>
      <c r="F48">
        <v>100</v>
      </c>
      <c r="G48">
        <v>469.5</v>
      </c>
      <c r="H48">
        <v>167.7</v>
      </c>
      <c r="I48">
        <f t="shared" si="4"/>
        <v>33.333333333333336</v>
      </c>
      <c r="J48">
        <f t="shared" ref="J48:J50" si="16">G48</f>
        <v>469.5</v>
      </c>
      <c r="K48">
        <f t="shared" ref="K48:K50" si="17">H48/(SQRT(3))</f>
        <v>96.82164014310024</v>
      </c>
      <c r="L48">
        <f>66/(66+34)</f>
        <v>0.66</v>
      </c>
      <c r="M48">
        <f t="shared" si="7"/>
        <v>0.78</v>
      </c>
      <c r="N48">
        <f t="shared" si="0"/>
        <v>0.72</v>
      </c>
      <c r="O48">
        <v>56</v>
      </c>
      <c r="P48">
        <v>42</v>
      </c>
      <c r="Q48">
        <f t="shared" si="1"/>
        <v>49</v>
      </c>
      <c r="R48" t="s">
        <v>26</v>
      </c>
      <c r="S48" t="s">
        <v>23</v>
      </c>
      <c r="T48" t="s">
        <v>36</v>
      </c>
      <c r="U48" t="s">
        <v>23</v>
      </c>
      <c r="V48" t="s">
        <v>57</v>
      </c>
    </row>
    <row r="49" spans="1:22" x14ac:dyDescent="0.2">
      <c r="A49" t="s">
        <v>69</v>
      </c>
      <c r="B49" t="s">
        <v>74</v>
      </c>
      <c r="C49">
        <v>100</v>
      </c>
      <c r="D49">
        <v>824.1</v>
      </c>
      <c r="E49">
        <v>810.4</v>
      </c>
      <c r="F49">
        <v>100</v>
      </c>
      <c r="G49">
        <v>469.5</v>
      </c>
      <c r="H49">
        <v>167.7</v>
      </c>
      <c r="I49">
        <f t="shared" si="4"/>
        <v>33.333333333333336</v>
      </c>
      <c r="J49">
        <f t="shared" si="16"/>
        <v>469.5</v>
      </c>
      <c r="K49">
        <f t="shared" si="17"/>
        <v>96.82164014310024</v>
      </c>
      <c r="L49">
        <f>84/100</f>
        <v>0.84</v>
      </c>
      <c r="M49">
        <f t="shared" si="7"/>
        <v>0.78</v>
      </c>
      <c r="N49">
        <f t="shared" si="0"/>
        <v>0.81</v>
      </c>
      <c r="O49">
        <v>53</v>
      </c>
      <c r="P49">
        <v>42</v>
      </c>
      <c r="Q49">
        <f t="shared" si="1"/>
        <v>47.5</v>
      </c>
      <c r="R49" t="s">
        <v>26</v>
      </c>
      <c r="S49" t="s">
        <v>23</v>
      </c>
      <c r="T49" t="s">
        <v>36</v>
      </c>
      <c r="U49" t="s">
        <v>23</v>
      </c>
      <c r="V49" t="s">
        <v>57</v>
      </c>
    </row>
    <row r="50" spans="1:22" x14ac:dyDescent="0.2">
      <c r="A50" t="s">
        <v>69</v>
      </c>
      <c r="B50" t="s">
        <v>74</v>
      </c>
      <c r="C50">
        <v>100</v>
      </c>
      <c r="D50">
        <v>774</v>
      </c>
      <c r="E50">
        <v>275.39999999999998</v>
      </c>
      <c r="F50">
        <v>100</v>
      </c>
      <c r="G50">
        <v>469.5</v>
      </c>
      <c r="H50">
        <v>167.7</v>
      </c>
      <c r="I50">
        <f t="shared" si="4"/>
        <v>33.333333333333336</v>
      </c>
      <c r="J50">
        <f t="shared" si="16"/>
        <v>469.5</v>
      </c>
      <c r="K50">
        <f t="shared" si="17"/>
        <v>96.82164014310024</v>
      </c>
      <c r="L50">
        <f>76/100</f>
        <v>0.76</v>
      </c>
      <c r="M50">
        <f t="shared" si="7"/>
        <v>0.78</v>
      </c>
      <c r="N50">
        <f t="shared" si="0"/>
        <v>0.77</v>
      </c>
      <c r="O50">
        <v>53.8</v>
      </c>
      <c r="P50">
        <v>42</v>
      </c>
      <c r="Q50">
        <f t="shared" si="1"/>
        <v>47.9</v>
      </c>
      <c r="R50" t="s">
        <v>26</v>
      </c>
      <c r="S50" t="s">
        <v>23</v>
      </c>
      <c r="T50" t="s">
        <v>36</v>
      </c>
      <c r="U50" t="s">
        <v>23</v>
      </c>
      <c r="V50" t="s">
        <v>57</v>
      </c>
    </row>
    <row r="51" spans="1:22" x14ac:dyDescent="0.2">
      <c r="A51" t="s">
        <v>75</v>
      </c>
      <c r="B51" t="s">
        <v>47</v>
      </c>
      <c r="C51">
        <v>407</v>
      </c>
      <c r="D51">
        <v>3.12</v>
      </c>
      <c r="E51">
        <v>2.6019999999999999</v>
      </c>
      <c r="F51" t="s">
        <v>24</v>
      </c>
      <c r="G51" t="s">
        <v>24</v>
      </c>
      <c r="H51" t="s">
        <v>24</v>
      </c>
      <c r="I51">
        <v>206</v>
      </c>
      <c r="J51">
        <v>2.8</v>
      </c>
      <c r="K51">
        <v>3.4</v>
      </c>
      <c r="L51">
        <f t="shared" ref="L51:L76" si="18">76/100</f>
        <v>0.76</v>
      </c>
      <c r="M51">
        <f t="shared" ref="M51:M78" si="19">146/(206)</f>
        <v>0.70873786407766992</v>
      </c>
      <c r="N51">
        <f t="shared" si="0"/>
        <v>0.73436893203883491</v>
      </c>
      <c r="O51">
        <v>54.6</v>
      </c>
      <c r="P51">
        <v>46.6</v>
      </c>
      <c r="Q51">
        <f t="shared" si="1"/>
        <v>50.6</v>
      </c>
      <c r="R51" t="s">
        <v>26</v>
      </c>
      <c r="S51" t="s">
        <v>23</v>
      </c>
      <c r="T51" t="s">
        <v>23</v>
      </c>
      <c r="U51" t="s">
        <v>23</v>
      </c>
      <c r="V51" t="s">
        <v>29</v>
      </c>
    </row>
    <row r="52" spans="1:22" x14ac:dyDescent="0.2">
      <c r="A52" t="s">
        <v>75</v>
      </c>
      <c r="B52" t="s">
        <v>47</v>
      </c>
      <c r="C52">
        <v>150</v>
      </c>
      <c r="D52">
        <v>2.9</v>
      </c>
      <c r="E52">
        <v>2.5</v>
      </c>
      <c r="F52">
        <v>206</v>
      </c>
      <c r="G52">
        <v>2.8</v>
      </c>
      <c r="H52">
        <v>3.4</v>
      </c>
      <c r="I52">
        <f>F52/3</f>
        <v>68.666666666666671</v>
      </c>
      <c r="J52">
        <f>G52</f>
        <v>2.8</v>
      </c>
      <c r="K52">
        <f t="shared" si="6"/>
        <v>1.9629909152447276</v>
      </c>
      <c r="L52">
        <f t="shared" si="18"/>
        <v>0.76</v>
      </c>
      <c r="M52">
        <f t="shared" si="19"/>
        <v>0.70873786407766992</v>
      </c>
      <c r="N52">
        <f t="shared" si="0"/>
        <v>0.73436893203883491</v>
      </c>
      <c r="O52">
        <v>54.6</v>
      </c>
      <c r="P52">
        <v>46.6</v>
      </c>
      <c r="Q52">
        <f t="shared" si="1"/>
        <v>50.6</v>
      </c>
      <c r="R52" t="s">
        <v>26</v>
      </c>
      <c r="S52" t="s">
        <v>23</v>
      </c>
      <c r="T52" t="s">
        <v>23</v>
      </c>
      <c r="U52" t="s">
        <v>23</v>
      </c>
      <c r="V52" t="s">
        <v>29</v>
      </c>
    </row>
    <row r="53" spans="1:22" x14ac:dyDescent="0.2">
      <c r="A53" t="s">
        <v>75</v>
      </c>
      <c r="B53" t="s">
        <v>47</v>
      </c>
      <c r="C53">
        <v>144</v>
      </c>
      <c r="D53">
        <v>2.9</v>
      </c>
      <c r="E53">
        <v>2.4</v>
      </c>
      <c r="F53">
        <v>206</v>
      </c>
      <c r="G53">
        <v>2.8</v>
      </c>
      <c r="H53">
        <v>3.4</v>
      </c>
      <c r="I53">
        <f t="shared" ref="I53:I54" si="20">F53/3</f>
        <v>68.666666666666671</v>
      </c>
      <c r="J53">
        <f t="shared" ref="J53:J54" si="21">G53</f>
        <v>2.8</v>
      </c>
      <c r="K53">
        <f t="shared" si="6"/>
        <v>1.9629909152447276</v>
      </c>
      <c r="L53">
        <f t="shared" si="18"/>
        <v>0.76</v>
      </c>
      <c r="M53">
        <f t="shared" si="19"/>
        <v>0.70873786407766992</v>
      </c>
      <c r="N53">
        <f t="shared" si="0"/>
        <v>0.73436893203883491</v>
      </c>
      <c r="O53">
        <v>54.6</v>
      </c>
      <c r="P53">
        <v>46.6</v>
      </c>
      <c r="Q53">
        <f t="shared" si="1"/>
        <v>50.6</v>
      </c>
      <c r="R53" t="s">
        <v>26</v>
      </c>
      <c r="S53" t="s">
        <v>23</v>
      </c>
      <c r="T53" t="s">
        <v>23</v>
      </c>
      <c r="U53" t="s">
        <v>23</v>
      </c>
      <c r="V53" t="s">
        <v>29</v>
      </c>
    </row>
    <row r="54" spans="1:22" x14ac:dyDescent="0.2">
      <c r="A54" t="s">
        <v>75</v>
      </c>
      <c r="B54" t="s">
        <v>47</v>
      </c>
      <c r="C54">
        <v>113</v>
      </c>
      <c r="D54">
        <v>3.7</v>
      </c>
      <c r="E54">
        <v>2.4</v>
      </c>
      <c r="F54">
        <v>206</v>
      </c>
      <c r="G54">
        <v>2.8</v>
      </c>
      <c r="H54">
        <v>3.4</v>
      </c>
      <c r="I54">
        <f t="shared" si="20"/>
        <v>68.666666666666671</v>
      </c>
      <c r="J54">
        <f t="shared" si="21"/>
        <v>2.8</v>
      </c>
      <c r="K54">
        <f t="shared" si="6"/>
        <v>1.9629909152447276</v>
      </c>
      <c r="L54">
        <f t="shared" si="18"/>
        <v>0.76</v>
      </c>
      <c r="M54">
        <f t="shared" si="19"/>
        <v>0.70873786407766992</v>
      </c>
      <c r="N54">
        <f t="shared" si="0"/>
        <v>0.73436893203883491</v>
      </c>
      <c r="O54">
        <v>54.6</v>
      </c>
      <c r="P54">
        <v>46.6</v>
      </c>
      <c r="Q54">
        <f t="shared" si="1"/>
        <v>50.6</v>
      </c>
      <c r="R54" t="s">
        <v>26</v>
      </c>
      <c r="S54" t="s">
        <v>23</v>
      </c>
      <c r="T54" t="s">
        <v>23</v>
      </c>
      <c r="U54" t="s">
        <v>23</v>
      </c>
      <c r="V54" t="s">
        <v>29</v>
      </c>
    </row>
    <row r="55" spans="1:22" x14ac:dyDescent="0.2">
      <c r="A55" t="s">
        <v>75</v>
      </c>
      <c r="B55" t="s">
        <v>100</v>
      </c>
      <c r="C55">
        <v>407</v>
      </c>
      <c r="D55">
        <v>7.72</v>
      </c>
      <c r="E55">
        <v>1.7969999999999999</v>
      </c>
      <c r="F55" t="s">
        <v>24</v>
      </c>
      <c r="G55" t="s">
        <v>24</v>
      </c>
      <c r="H55" t="s">
        <v>24</v>
      </c>
      <c r="I55">
        <v>206</v>
      </c>
      <c r="J55">
        <v>7.6</v>
      </c>
      <c r="K55">
        <v>1.7</v>
      </c>
      <c r="L55">
        <f t="shared" si="18"/>
        <v>0.76</v>
      </c>
      <c r="M55">
        <f t="shared" si="19"/>
        <v>0.70873786407766992</v>
      </c>
      <c r="N55">
        <f t="shared" si="0"/>
        <v>0.73436893203883491</v>
      </c>
      <c r="O55">
        <v>54.6</v>
      </c>
      <c r="P55">
        <v>46.6</v>
      </c>
      <c r="Q55">
        <f t="shared" si="1"/>
        <v>50.6</v>
      </c>
      <c r="R55" t="s">
        <v>26</v>
      </c>
      <c r="S55" t="s">
        <v>23</v>
      </c>
      <c r="T55" t="s">
        <v>23</v>
      </c>
      <c r="U55" t="s">
        <v>76</v>
      </c>
      <c r="V55" t="s">
        <v>29</v>
      </c>
    </row>
    <row r="56" spans="1:22" x14ac:dyDescent="0.2">
      <c r="A56" t="s">
        <v>75</v>
      </c>
      <c r="B56" t="s">
        <v>100</v>
      </c>
      <c r="C56">
        <v>150</v>
      </c>
      <c r="D56">
        <v>7.5</v>
      </c>
      <c r="E56">
        <v>1.7</v>
      </c>
      <c r="F56">
        <v>206</v>
      </c>
      <c r="G56">
        <v>7.6</v>
      </c>
      <c r="H56">
        <v>1.7</v>
      </c>
      <c r="I56">
        <f>F56/3</f>
        <v>68.666666666666671</v>
      </c>
      <c r="J56">
        <f t="shared" ref="J56:J58" si="22">G56</f>
        <v>7.6</v>
      </c>
      <c r="K56">
        <f t="shared" si="6"/>
        <v>0.98149545762236379</v>
      </c>
      <c r="L56">
        <f t="shared" si="18"/>
        <v>0.76</v>
      </c>
      <c r="M56">
        <f t="shared" si="19"/>
        <v>0.70873786407766992</v>
      </c>
      <c r="N56">
        <f t="shared" si="0"/>
        <v>0.73436893203883491</v>
      </c>
      <c r="O56">
        <v>54.6</v>
      </c>
      <c r="P56">
        <v>46.6</v>
      </c>
      <c r="Q56">
        <f t="shared" si="1"/>
        <v>50.6</v>
      </c>
      <c r="R56" t="s">
        <v>26</v>
      </c>
      <c r="S56" t="s">
        <v>23</v>
      </c>
      <c r="T56" t="s">
        <v>23</v>
      </c>
      <c r="U56" t="s">
        <v>76</v>
      </c>
      <c r="V56" t="s">
        <v>29</v>
      </c>
    </row>
    <row r="57" spans="1:22" x14ac:dyDescent="0.2">
      <c r="A57" t="s">
        <v>75</v>
      </c>
      <c r="B57" t="s">
        <v>100</v>
      </c>
      <c r="C57">
        <v>144</v>
      </c>
      <c r="D57">
        <v>7.9</v>
      </c>
      <c r="E57">
        <v>1.8</v>
      </c>
      <c r="F57">
        <v>206</v>
      </c>
      <c r="G57">
        <v>7.6</v>
      </c>
      <c r="H57">
        <v>1.7</v>
      </c>
      <c r="I57">
        <f t="shared" ref="I57:I58" si="23">F57/3</f>
        <v>68.666666666666671</v>
      </c>
      <c r="J57">
        <f t="shared" si="22"/>
        <v>7.6</v>
      </c>
      <c r="K57">
        <f t="shared" si="6"/>
        <v>0.98149545762236379</v>
      </c>
      <c r="L57">
        <f t="shared" si="18"/>
        <v>0.76</v>
      </c>
      <c r="M57">
        <f t="shared" si="19"/>
        <v>0.70873786407766992</v>
      </c>
      <c r="N57">
        <f t="shared" si="0"/>
        <v>0.73436893203883491</v>
      </c>
      <c r="O57">
        <v>54.6</v>
      </c>
      <c r="P57">
        <v>46.6</v>
      </c>
      <c r="Q57">
        <f t="shared" si="1"/>
        <v>50.6</v>
      </c>
      <c r="R57" t="s">
        <v>26</v>
      </c>
      <c r="S57" t="s">
        <v>23</v>
      </c>
      <c r="T57" t="s">
        <v>23</v>
      </c>
      <c r="U57" t="s">
        <v>76</v>
      </c>
      <c r="V57" t="s">
        <v>29</v>
      </c>
    </row>
    <row r="58" spans="1:22" x14ac:dyDescent="0.2">
      <c r="A58" t="s">
        <v>75</v>
      </c>
      <c r="B58" t="s">
        <v>100</v>
      </c>
      <c r="C58">
        <v>113</v>
      </c>
      <c r="D58">
        <v>7.8</v>
      </c>
      <c r="E58">
        <v>1.9</v>
      </c>
      <c r="F58">
        <v>206</v>
      </c>
      <c r="G58">
        <v>7.6</v>
      </c>
      <c r="H58">
        <v>1.7</v>
      </c>
      <c r="I58">
        <f t="shared" si="23"/>
        <v>68.666666666666671</v>
      </c>
      <c r="J58">
        <f t="shared" si="22"/>
        <v>7.6</v>
      </c>
      <c r="K58">
        <f t="shared" si="6"/>
        <v>0.98149545762236379</v>
      </c>
      <c r="L58">
        <f t="shared" si="18"/>
        <v>0.76</v>
      </c>
      <c r="M58">
        <f t="shared" si="19"/>
        <v>0.70873786407766992</v>
      </c>
      <c r="N58">
        <f t="shared" si="0"/>
        <v>0.73436893203883491</v>
      </c>
      <c r="O58">
        <v>54.6</v>
      </c>
      <c r="P58">
        <v>46.6</v>
      </c>
      <c r="Q58">
        <f t="shared" si="1"/>
        <v>50.6</v>
      </c>
      <c r="R58" t="s">
        <v>26</v>
      </c>
      <c r="S58" t="s">
        <v>23</v>
      </c>
      <c r="T58" t="s">
        <v>23</v>
      </c>
      <c r="U58" t="s">
        <v>76</v>
      </c>
      <c r="V58" t="s">
        <v>29</v>
      </c>
    </row>
    <row r="59" spans="1:22" x14ac:dyDescent="0.2">
      <c r="A59" t="s">
        <v>75</v>
      </c>
      <c r="B59" t="s">
        <v>70</v>
      </c>
      <c r="C59">
        <v>407</v>
      </c>
      <c r="D59">
        <v>4.45</v>
      </c>
      <c r="E59">
        <v>1.476</v>
      </c>
      <c r="F59" t="s">
        <v>24</v>
      </c>
      <c r="G59" t="s">
        <v>24</v>
      </c>
      <c r="H59" t="s">
        <v>24</v>
      </c>
      <c r="I59">
        <v>206</v>
      </c>
      <c r="J59">
        <v>4.2</v>
      </c>
      <c r="K59">
        <v>1.1000000000000001</v>
      </c>
      <c r="L59">
        <f t="shared" si="18"/>
        <v>0.76</v>
      </c>
      <c r="M59">
        <f t="shared" si="19"/>
        <v>0.70873786407766992</v>
      </c>
      <c r="N59">
        <f t="shared" si="0"/>
        <v>0.73436893203883491</v>
      </c>
      <c r="O59">
        <v>54.6</v>
      </c>
      <c r="P59">
        <v>46.6</v>
      </c>
      <c r="Q59">
        <f t="shared" si="1"/>
        <v>50.6</v>
      </c>
      <c r="R59" t="s">
        <v>26</v>
      </c>
      <c r="S59" t="s">
        <v>23</v>
      </c>
      <c r="T59" t="s">
        <v>23</v>
      </c>
      <c r="U59" t="s">
        <v>76</v>
      </c>
      <c r="V59" t="s">
        <v>29</v>
      </c>
    </row>
    <row r="60" spans="1:22" x14ac:dyDescent="0.2">
      <c r="A60" t="s">
        <v>75</v>
      </c>
      <c r="B60" t="s">
        <v>70</v>
      </c>
      <c r="C60">
        <v>150</v>
      </c>
      <c r="D60">
        <v>4.2</v>
      </c>
      <c r="E60">
        <v>1.3</v>
      </c>
      <c r="F60">
        <v>206</v>
      </c>
      <c r="G60">
        <v>4.2</v>
      </c>
      <c r="H60">
        <v>1.1000000000000001</v>
      </c>
      <c r="I60">
        <f>F60/3</f>
        <v>68.666666666666671</v>
      </c>
      <c r="J60">
        <f t="shared" ref="J60:J62" si="24">G60</f>
        <v>4.2</v>
      </c>
      <c r="K60">
        <f t="shared" si="6"/>
        <v>0.63508529610858844</v>
      </c>
      <c r="L60">
        <f t="shared" si="18"/>
        <v>0.76</v>
      </c>
      <c r="M60">
        <f t="shared" si="19"/>
        <v>0.70873786407766992</v>
      </c>
      <c r="N60">
        <f t="shared" si="0"/>
        <v>0.73436893203883491</v>
      </c>
      <c r="O60">
        <v>54.6</v>
      </c>
      <c r="P60">
        <v>46.6</v>
      </c>
      <c r="Q60">
        <f t="shared" si="1"/>
        <v>50.6</v>
      </c>
      <c r="R60" t="s">
        <v>26</v>
      </c>
      <c r="S60" t="s">
        <v>23</v>
      </c>
      <c r="T60" t="s">
        <v>23</v>
      </c>
      <c r="U60" t="s">
        <v>76</v>
      </c>
      <c r="V60" t="s">
        <v>29</v>
      </c>
    </row>
    <row r="61" spans="1:22" x14ac:dyDescent="0.2">
      <c r="A61" t="s">
        <v>75</v>
      </c>
      <c r="B61" t="s">
        <v>70</v>
      </c>
      <c r="C61">
        <v>144</v>
      </c>
      <c r="D61">
        <v>4.5999999999999996</v>
      </c>
      <c r="E61">
        <v>1.6</v>
      </c>
      <c r="F61">
        <v>206</v>
      </c>
      <c r="G61">
        <v>4.2</v>
      </c>
      <c r="H61">
        <v>1.1000000000000001</v>
      </c>
      <c r="I61">
        <f t="shared" ref="I61:I62" si="25">F61/3</f>
        <v>68.666666666666671</v>
      </c>
      <c r="J61">
        <f t="shared" si="24"/>
        <v>4.2</v>
      </c>
      <c r="K61">
        <f t="shared" si="6"/>
        <v>0.63508529610858844</v>
      </c>
      <c r="L61">
        <f t="shared" si="18"/>
        <v>0.76</v>
      </c>
      <c r="M61">
        <f t="shared" si="19"/>
        <v>0.70873786407766992</v>
      </c>
      <c r="N61">
        <f t="shared" si="0"/>
        <v>0.73436893203883491</v>
      </c>
      <c r="O61">
        <v>54.6</v>
      </c>
      <c r="P61">
        <v>46.6</v>
      </c>
      <c r="Q61">
        <f t="shared" si="1"/>
        <v>50.6</v>
      </c>
      <c r="R61" t="s">
        <v>26</v>
      </c>
      <c r="S61" t="s">
        <v>23</v>
      </c>
      <c r="T61" t="s">
        <v>23</v>
      </c>
      <c r="U61" t="s">
        <v>76</v>
      </c>
      <c r="V61" t="s">
        <v>29</v>
      </c>
    </row>
    <row r="62" spans="1:22" x14ac:dyDescent="0.2">
      <c r="A62" t="s">
        <v>75</v>
      </c>
      <c r="B62" t="s">
        <v>70</v>
      </c>
      <c r="C62">
        <v>113</v>
      </c>
      <c r="D62">
        <v>4.5999999999999996</v>
      </c>
      <c r="E62">
        <v>1.5</v>
      </c>
      <c r="F62">
        <v>206</v>
      </c>
      <c r="G62">
        <v>4.2</v>
      </c>
      <c r="H62">
        <v>1.1000000000000001</v>
      </c>
      <c r="I62">
        <f t="shared" si="25"/>
        <v>68.666666666666671</v>
      </c>
      <c r="J62">
        <f t="shared" si="24"/>
        <v>4.2</v>
      </c>
      <c r="K62">
        <f t="shared" si="6"/>
        <v>0.63508529610858844</v>
      </c>
      <c r="L62">
        <f t="shared" si="18"/>
        <v>0.76</v>
      </c>
      <c r="M62">
        <f t="shared" si="19"/>
        <v>0.70873786407766992</v>
      </c>
      <c r="N62">
        <f t="shared" si="0"/>
        <v>0.73436893203883491</v>
      </c>
      <c r="O62">
        <v>54.6</v>
      </c>
      <c r="P62">
        <v>46.6</v>
      </c>
      <c r="Q62">
        <f t="shared" si="1"/>
        <v>50.6</v>
      </c>
      <c r="R62" t="s">
        <v>26</v>
      </c>
      <c r="S62" t="s">
        <v>23</v>
      </c>
      <c r="T62" t="s">
        <v>23</v>
      </c>
      <c r="U62" t="s">
        <v>76</v>
      </c>
      <c r="V62" t="s">
        <v>29</v>
      </c>
    </row>
    <row r="63" spans="1:22" x14ac:dyDescent="0.2">
      <c r="A63" t="s">
        <v>75</v>
      </c>
      <c r="B63" t="s">
        <v>71</v>
      </c>
      <c r="C63">
        <v>407</v>
      </c>
      <c r="D63">
        <v>2.4700000000000002</v>
      </c>
      <c r="E63">
        <v>0.76400000000000001</v>
      </c>
      <c r="F63" t="s">
        <v>24</v>
      </c>
      <c r="G63" t="s">
        <v>24</v>
      </c>
      <c r="H63" t="s">
        <v>24</v>
      </c>
      <c r="I63">
        <v>206</v>
      </c>
      <c r="J63">
        <v>2.6</v>
      </c>
      <c r="K63">
        <v>0.7</v>
      </c>
      <c r="L63">
        <f t="shared" si="18"/>
        <v>0.76</v>
      </c>
      <c r="M63">
        <f t="shared" si="19"/>
        <v>0.70873786407766992</v>
      </c>
      <c r="N63">
        <f t="shared" si="0"/>
        <v>0.73436893203883491</v>
      </c>
      <c r="O63">
        <v>54.6</v>
      </c>
      <c r="P63">
        <v>46.6</v>
      </c>
      <c r="Q63">
        <f t="shared" si="1"/>
        <v>50.6</v>
      </c>
      <c r="R63" t="s">
        <v>26</v>
      </c>
      <c r="S63" t="s">
        <v>23</v>
      </c>
      <c r="T63" t="s">
        <v>23</v>
      </c>
      <c r="U63" t="s">
        <v>76</v>
      </c>
      <c r="V63" t="s">
        <v>29</v>
      </c>
    </row>
    <row r="64" spans="1:22" x14ac:dyDescent="0.2">
      <c r="A64" t="s">
        <v>75</v>
      </c>
      <c r="B64" t="s">
        <v>71</v>
      </c>
      <c r="C64">
        <v>150</v>
      </c>
      <c r="D64">
        <v>2.5</v>
      </c>
      <c r="E64">
        <v>0.7</v>
      </c>
      <c r="F64">
        <v>206</v>
      </c>
      <c r="G64">
        <v>2.6</v>
      </c>
      <c r="H64">
        <v>0.7</v>
      </c>
      <c r="I64">
        <f>F64/3</f>
        <v>68.666666666666671</v>
      </c>
      <c r="J64">
        <f t="shared" ref="J64:J66" si="26">G64</f>
        <v>2.6</v>
      </c>
      <c r="K64">
        <f t="shared" ref="K64:K66" si="27">H64/(SQRT(3))</f>
        <v>0.40414518843273806</v>
      </c>
      <c r="L64">
        <f t="shared" si="18"/>
        <v>0.76</v>
      </c>
      <c r="M64">
        <f t="shared" si="19"/>
        <v>0.70873786407766992</v>
      </c>
      <c r="N64">
        <f t="shared" si="0"/>
        <v>0.73436893203883491</v>
      </c>
      <c r="O64">
        <v>54.6</v>
      </c>
      <c r="P64">
        <v>46.6</v>
      </c>
      <c r="Q64">
        <f t="shared" si="1"/>
        <v>50.6</v>
      </c>
      <c r="R64" t="s">
        <v>26</v>
      </c>
      <c r="S64" t="s">
        <v>23</v>
      </c>
      <c r="T64" t="s">
        <v>23</v>
      </c>
      <c r="U64" t="s">
        <v>76</v>
      </c>
      <c r="V64" t="s">
        <v>29</v>
      </c>
    </row>
    <row r="65" spans="1:22" x14ac:dyDescent="0.2">
      <c r="A65" t="s">
        <v>75</v>
      </c>
      <c r="B65" t="s">
        <v>71</v>
      </c>
      <c r="C65">
        <v>144</v>
      </c>
      <c r="D65">
        <v>2.5</v>
      </c>
      <c r="E65">
        <v>0.8</v>
      </c>
      <c r="F65">
        <v>206</v>
      </c>
      <c r="G65">
        <v>2.6</v>
      </c>
      <c r="H65">
        <v>0.7</v>
      </c>
      <c r="I65">
        <f t="shared" ref="I65:I66" si="28">F65/3</f>
        <v>68.666666666666671</v>
      </c>
      <c r="J65">
        <f t="shared" si="26"/>
        <v>2.6</v>
      </c>
      <c r="K65">
        <f t="shared" si="27"/>
        <v>0.40414518843273806</v>
      </c>
      <c r="L65">
        <f t="shared" si="18"/>
        <v>0.76</v>
      </c>
      <c r="M65">
        <f t="shared" si="19"/>
        <v>0.70873786407766992</v>
      </c>
      <c r="N65">
        <f t="shared" si="0"/>
        <v>0.73436893203883491</v>
      </c>
      <c r="O65">
        <v>54.6</v>
      </c>
      <c r="P65">
        <v>46.6</v>
      </c>
      <c r="Q65">
        <f t="shared" si="1"/>
        <v>50.6</v>
      </c>
      <c r="R65" t="s">
        <v>26</v>
      </c>
      <c r="S65" t="s">
        <v>23</v>
      </c>
      <c r="T65" t="s">
        <v>23</v>
      </c>
      <c r="U65" t="s">
        <v>76</v>
      </c>
      <c r="V65" t="s">
        <v>29</v>
      </c>
    </row>
    <row r="66" spans="1:22" x14ac:dyDescent="0.2">
      <c r="A66" t="s">
        <v>75</v>
      </c>
      <c r="B66" t="s">
        <v>71</v>
      </c>
      <c r="C66">
        <v>113</v>
      </c>
      <c r="D66">
        <v>2.4</v>
      </c>
      <c r="E66">
        <v>0.8</v>
      </c>
      <c r="F66">
        <v>206</v>
      </c>
      <c r="G66">
        <v>2.6</v>
      </c>
      <c r="H66">
        <v>0.7</v>
      </c>
      <c r="I66">
        <f t="shared" si="28"/>
        <v>68.666666666666671</v>
      </c>
      <c r="J66">
        <f t="shared" si="26"/>
        <v>2.6</v>
      </c>
      <c r="K66">
        <f t="shared" si="27"/>
        <v>0.40414518843273806</v>
      </c>
      <c r="L66">
        <f t="shared" si="18"/>
        <v>0.76</v>
      </c>
      <c r="M66">
        <f t="shared" si="19"/>
        <v>0.70873786407766992</v>
      </c>
      <c r="N66">
        <f t="shared" si="0"/>
        <v>0.73436893203883491</v>
      </c>
      <c r="O66">
        <v>54.6</v>
      </c>
      <c r="P66">
        <v>46.6</v>
      </c>
      <c r="Q66">
        <f t="shared" si="1"/>
        <v>50.6</v>
      </c>
      <c r="R66" t="s">
        <v>26</v>
      </c>
      <c r="S66" t="s">
        <v>23</v>
      </c>
      <c r="T66" t="s">
        <v>23</v>
      </c>
      <c r="U66" t="s">
        <v>76</v>
      </c>
      <c r="V66" t="s">
        <v>29</v>
      </c>
    </row>
    <row r="67" spans="1:22" x14ac:dyDescent="0.2">
      <c r="A67" t="s">
        <v>75</v>
      </c>
      <c r="B67" t="s">
        <v>73</v>
      </c>
      <c r="C67">
        <v>407</v>
      </c>
      <c r="D67">
        <v>270.39999999999998</v>
      </c>
      <c r="E67">
        <v>66.95</v>
      </c>
      <c r="F67" t="s">
        <v>24</v>
      </c>
      <c r="G67" t="s">
        <v>24</v>
      </c>
      <c r="H67" t="s">
        <v>24</v>
      </c>
      <c r="I67">
        <v>206</v>
      </c>
      <c r="J67">
        <v>273.8</v>
      </c>
      <c r="K67">
        <v>68.099999999999994</v>
      </c>
      <c r="L67">
        <f t="shared" si="18"/>
        <v>0.76</v>
      </c>
      <c r="M67">
        <f t="shared" si="19"/>
        <v>0.70873786407766992</v>
      </c>
      <c r="N67">
        <f t="shared" si="0"/>
        <v>0.73436893203883491</v>
      </c>
      <c r="O67">
        <v>54.6</v>
      </c>
      <c r="P67">
        <v>46.6</v>
      </c>
      <c r="Q67">
        <f t="shared" si="1"/>
        <v>50.6</v>
      </c>
      <c r="R67" t="s">
        <v>26</v>
      </c>
      <c r="S67" t="s">
        <v>23</v>
      </c>
      <c r="T67" t="s">
        <v>23</v>
      </c>
      <c r="U67" t="s">
        <v>76</v>
      </c>
      <c r="V67" t="s">
        <v>29</v>
      </c>
    </row>
    <row r="68" spans="1:22" x14ac:dyDescent="0.2">
      <c r="A68" t="s">
        <v>75</v>
      </c>
      <c r="B68" t="s">
        <v>73</v>
      </c>
      <c r="C68">
        <v>150</v>
      </c>
      <c r="D68">
        <v>268.39999999999998</v>
      </c>
      <c r="E68">
        <v>61.1</v>
      </c>
      <c r="F68">
        <v>206</v>
      </c>
      <c r="G68">
        <v>273.8</v>
      </c>
      <c r="H68">
        <v>68.099999999999994</v>
      </c>
      <c r="I68">
        <f>F68/3</f>
        <v>68.666666666666671</v>
      </c>
      <c r="J68">
        <f t="shared" ref="J68:J70" si="29">G68</f>
        <v>273.8</v>
      </c>
      <c r="K68">
        <f t="shared" ref="K68:K70" si="30">H68/(SQRT(3))</f>
        <v>39.317553331813514</v>
      </c>
      <c r="L68">
        <f t="shared" si="18"/>
        <v>0.76</v>
      </c>
      <c r="M68">
        <f t="shared" si="19"/>
        <v>0.70873786407766992</v>
      </c>
      <c r="N68">
        <f t="shared" si="0"/>
        <v>0.73436893203883491</v>
      </c>
      <c r="O68">
        <v>54.6</v>
      </c>
      <c r="P68">
        <v>46.6</v>
      </c>
      <c r="Q68">
        <f t="shared" si="1"/>
        <v>50.6</v>
      </c>
      <c r="R68" t="s">
        <v>26</v>
      </c>
      <c r="S68" t="s">
        <v>23</v>
      </c>
      <c r="T68" t="s">
        <v>23</v>
      </c>
      <c r="U68" t="s">
        <v>76</v>
      </c>
      <c r="V68" t="s">
        <v>29</v>
      </c>
    </row>
    <row r="69" spans="1:22" x14ac:dyDescent="0.2">
      <c r="A69" t="s">
        <v>75</v>
      </c>
      <c r="B69" t="s">
        <v>73</v>
      </c>
      <c r="C69">
        <v>144</v>
      </c>
      <c r="D69">
        <v>276.39999999999998</v>
      </c>
      <c r="E69">
        <v>73.2</v>
      </c>
      <c r="F69">
        <v>206</v>
      </c>
      <c r="G69">
        <v>273.8</v>
      </c>
      <c r="H69">
        <v>68.099999999999994</v>
      </c>
      <c r="I69">
        <f t="shared" ref="I69:I70" si="31">F69/3</f>
        <v>68.666666666666671</v>
      </c>
      <c r="J69">
        <f t="shared" si="29"/>
        <v>273.8</v>
      </c>
      <c r="K69">
        <f t="shared" si="30"/>
        <v>39.317553331813514</v>
      </c>
      <c r="L69">
        <f t="shared" si="18"/>
        <v>0.76</v>
      </c>
      <c r="M69">
        <f t="shared" si="19"/>
        <v>0.70873786407766992</v>
      </c>
      <c r="N69">
        <f t="shared" si="0"/>
        <v>0.73436893203883491</v>
      </c>
      <c r="O69">
        <v>54.6</v>
      </c>
      <c r="P69">
        <v>46.6</v>
      </c>
      <c r="Q69">
        <f t="shared" si="1"/>
        <v>50.6</v>
      </c>
      <c r="R69" t="s">
        <v>26</v>
      </c>
      <c r="S69" t="s">
        <v>23</v>
      </c>
      <c r="T69" t="s">
        <v>23</v>
      </c>
      <c r="U69" t="s">
        <v>76</v>
      </c>
      <c r="V69" t="s">
        <v>29</v>
      </c>
    </row>
    <row r="70" spans="1:22" x14ac:dyDescent="0.2">
      <c r="A70" t="s">
        <v>75</v>
      </c>
      <c r="B70" t="s">
        <v>73</v>
      </c>
      <c r="C70">
        <v>113</v>
      </c>
      <c r="D70">
        <v>266</v>
      </c>
      <c r="E70">
        <v>66.099999999999994</v>
      </c>
      <c r="F70">
        <v>206</v>
      </c>
      <c r="G70">
        <v>273.8</v>
      </c>
      <c r="H70">
        <v>68.099999999999994</v>
      </c>
      <c r="I70">
        <f t="shared" si="31"/>
        <v>68.666666666666671</v>
      </c>
      <c r="J70">
        <f t="shared" si="29"/>
        <v>273.8</v>
      </c>
      <c r="K70">
        <f t="shared" si="30"/>
        <v>39.317553331813514</v>
      </c>
      <c r="L70">
        <f t="shared" si="18"/>
        <v>0.76</v>
      </c>
      <c r="M70">
        <f t="shared" si="19"/>
        <v>0.70873786407766992</v>
      </c>
      <c r="N70">
        <f t="shared" si="0"/>
        <v>0.73436893203883491</v>
      </c>
      <c r="O70">
        <v>54.6</v>
      </c>
      <c r="P70">
        <v>46.6</v>
      </c>
      <c r="Q70">
        <f t="shared" si="1"/>
        <v>50.6</v>
      </c>
      <c r="R70" t="s">
        <v>26</v>
      </c>
      <c r="S70" t="s">
        <v>23</v>
      </c>
      <c r="T70" t="s">
        <v>23</v>
      </c>
      <c r="U70" t="s">
        <v>76</v>
      </c>
      <c r="V70" t="s">
        <v>29</v>
      </c>
    </row>
    <row r="71" spans="1:22" x14ac:dyDescent="0.2">
      <c r="A71" t="s">
        <v>75</v>
      </c>
      <c r="B71" t="s">
        <v>77</v>
      </c>
      <c r="C71">
        <v>407</v>
      </c>
      <c r="D71">
        <v>119.8</v>
      </c>
      <c r="E71">
        <v>45.71</v>
      </c>
      <c r="F71" t="s">
        <v>24</v>
      </c>
      <c r="G71" t="s">
        <v>24</v>
      </c>
      <c r="H71" t="s">
        <v>24</v>
      </c>
      <c r="I71">
        <v>206</v>
      </c>
      <c r="J71">
        <v>109.2</v>
      </c>
      <c r="K71">
        <v>33.4</v>
      </c>
      <c r="L71">
        <f t="shared" si="18"/>
        <v>0.76</v>
      </c>
      <c r="M71">
        <f t="shared" si="19"/>
        <v>0.70873786407766992</v>
      </c>
      <c r="N71">
        <f t="shared" si="0"/>
        <v>0.73436893203883491</v>
      </c>
      <c r="O71">
        <v>54.6</v>
      </c>
      <c r="P71">
        <v>46.6</v>
      </c>
      <c r="Q71">
        <f t="shared" si="1"/>
        <v>50.6</v>
      </c>
      <c r="R71" t="s">
        <v>26</v>
      </c>
      <c r="S71" t="s">
        <v>23</v>
      </c>
      <c r="T71" t="s">
        <v>23</v>
      </c>
      <c r="U71" t="s">
        <v>76</v>
      </c>
      <c r="V71" t="s">
        <v>29</v>
      </c>
    </row>
    <row r="72" spans="1:22" x14ac:dyDescent="0.2">
      <c r="A72" t="s">
        <v>75</v>
      </c>
      <c r="B72" t="s">
        <v>77</v>
      </c>
      <c r="C72">
        <v>150</v>
      </c>
      <c r="D72">
        <v>115.5</v>
      </c>
      <c r="E72">
        <v>36.200000000000003</v>
      </c>
      <c r="F72">
        <v>206</v>
      </c>
      <c r="G72">
        <v>109.2</v>
      </c>
      <c r="H72">
        <v>33.4</v>
      </c>
      <c r="I72">
        <f>F72/3</f>
        <v>68.666666666666671</v>
      </c>
      <c r="J72">
        <f t="shared" ref="J72:J74" si="32">G72</f>
        <v>109.2</v>
      </c>
      <c r="K72">
        <f t="shared" ref="K72:K74" si="33">H72/(SQRT(3))</f>
        <v>19.283498990933502</v>
      </c>
      <c r="L72">
        <f t="shared" si="18"/>
        <v>0.76</v>
      </c>
      <c r="M72">
        <f t="shared" si="19"/>
        <v>0.70873786407766992</v>
      </c>
      <c r="N72">
        <f t="shared" si="0"/>
        <v>0.73436893203883491</v>
      </c>
      <c r="O72">
        <v>54.6</v>
      </c>
      <c r="P72">
        <v>46.6</v>
      </c>
      <c r="Q72">
        <f t="shared" si="1"/>
        <v>50.6</v>
      </c>
      <c r="R72" t="s">
        <v>26</v>
      </c>
      <c r="S72" t="s">
        <v>23</v>
      </c>
      <c r="T72" t="s">
        <v>23</v>
      </c>
      <c r="U72" t="s">
        <v>76</v>
      </c>
      <c r="V72" t="s">
        <v>29</v>
      </c>
    </row>
    <row r="73" spans="1:22" x14ac:dyDescent="0.2">
      <c r="A73" t="s">
        <v>75</v>
      </c>
      <c r="B73" t="s">
        <v>77</v>
      </c>
      <c r="C73">
        <v>144</v>
      </c>
      <c r="D73">
        <v>118.8</v>
      </c>
      <c r="E73">
        <v>43.7</v>
      </c>
      <c r="F73">
        <v>206</v>
      </c>
      <c r="G73">
        <v>109.2</v>
      </c>
      <c r="H73">
        <v>33.4</v>
      </c>
      <c r="I73">
        <f t="shared" ref="I73:I74" si="34">F73/3</f>
        <v>68.666666666666671</v>
      </c>
      <c r="J73">
        <f t="shared" si="32"/>
        <v>109.2</v>
      </c>
      <c r="K73">
        <f t="shared" si="33"/>
        <v>19.283498990933502</v>
      </c>
      <c r="L73">
        <f t="shared" si="18"/>
        <v>0.76</v>
      </c>
      <c r="M73">
        <f t="shared" si="19"/>
        <v>0.70873786407766992</v>
      </c>
      <c r="N73">
        <f t="shared" si="0"/>
        <v>0.73436893203883491</v>
      </c>
      <c r="O73">
        <v>54.6</v>
      </c>
      <c r="P73">
        <v>46.6</v>
      </c>
      <c r="Q73">
        <f t="shared" si="1"/>
        <v>50.6</v>
      </c>
      <c r="R73" t="s">
        <v>26</v>
      </c>
      <c r="S73" t="s">
        <v>23</v>
      </c>
      <c r="T73" t="s">
        <v>23</v>
      </c>
      <c r="U73" t="s">
        <v>76</v>
      </c>
      <c r="V73" t="s">
        <v>29</v>
      </c>
    </row>
    <row r="74" spans="1:22" x14ac:dyDescent="0.2">
      <c r="A74" t="s">
        <v>75</v>
      </c>
      <c r="B74" t="s">
        <v>77</v>
      </c>
      <c r="C74">
        <v>113</v>
      </c>
      <c r="D74">
        <v>126.8</v>
      </c>
      <c r="E74">
        <v>57.6</v>
      </c>
      <c r="F74">
        <v>206</v>
      </c>
      <c r="G74">
        <v>109.2</v>
      </c>
      <c r="H74">
        <v>33.4</v>
      </c>
      <c r="I74">
        <f t="shared" si="34"/>
        <v>68.666666666666671</v>
      </c>
      <c r="J74">
        <f t="shared" si="32"/>
        <v>109.2</v>
      </c>
      <c r="K74">
        <f t="shared" si="33"/>
        <v>19.283498990933502</v>
      </c>
      <c r="L74">
        <f>76/100</f>
        <v>0.76</v>
      </c>
      <c r="M74">
        <f t="shared" si="19"/>
        <v>0.70873786407766992</v>
      </c>
      <c r="N74">
        <f t="shared" si="0"/>
        <v>0.73436893203883491</v>
      </c>
      <c r="O74">
        <v>54.6</v>
      </c>
      <c r="P74">
        <v>46.6</v>
      </c>
      <c r="Q74">
        <f t="shared" si="1"/>
        <v>50.6</v>
      </c>
      <c r="R74" t="s">
        <v>26</v>
      </c>
      <c r="S74" t="s">
        <v>23</v>
      </c>
      <c r="T74" t="s">
        <v>23</v>
      </c>
      <c r="U74" t="s">
        <v>76</v>
      </c>
      <c r="V74" t="s">
        <v>29</v>
      </c>
    </row>
    <row r="75" spans="1:22" x14ac:dyDescent="0.2">
      <c r="A75" t="s">
        <v>75</v>
      </c>
      <c r="B75" t="s">
        <v>78</v>
      </c>
      <c r="C75">
        <v>407</v>
      </c>
      <c r="D75">
        <v>2.0099999999999998</v>
      </c>
      <c r="E75">
        <v>1.1499999999999999</v>
      </c>
      <c r="F75" t="s">
        <v>24</v>
      </c>
      <c r="G75" t="s">
        <v>24</v>
      </c>
      <c r="H75" t="s">
        <v>24</v>
      </c>
      <c r="I75">
        <v>206</v>
      </c>
      <c r="J75">
        <v>1.7</v>
      </c>
      <c r="K75">
        <v>0.6</v>
      </c>
      <c r="L75">
        <f t="shared" si="18"/>
        <v>0.76</v>
      </c>
      <c r="M75">
        <f t="shared" si="19"/>
        <v>0.70873786407766992</v>
      </c>
      <c r="N75">
        <f t="shared" si="0"/>
        <v>0.73436893203883491</v>
      </c>
      <c r="O75">
        <v>54.6</v>
      </c>
      <c r="P75">
        <v>46.6</v>
      </c>
      <c r="Q75">
        <f t="shared" si="1"/>
        <v>50.6</v>
      </c>
      <c r="R75" t="s">
        <v>26</v>
      </c>
      <c r="S75" t="s">
        <v>23</v>
      </c>
      <c r="T75" t="s">
        <v>23</v>
      </c>
      <c r="U75" t="s">
        <v>76</v>
      </c>
      <c r="V75" t="s">
        <v>29</v>
      </c>
    </row>
    <row r="76" spans="1:22" x14ac:dyDescent="0.2">
      <c r="A76" t="s">
        <v>75</v>
      </c>
      <c r="B76" t="s">
        <v>78</v>
      </c>
      <c r="C76">
        <v>150</v>
      </c>
      <c r="D76">
        <v>1.8</v>
      </c>
      <c r="E76">
        <v>0.8</v>
      </c>
      <c r="F76">
        <v>206</v>
      </c>
      <c r="G76">
        <v>1.7</v>
      </c>
      <c r="H76">
        <v>0.6</v>
      </c>
      <c r="I76">
        <f>F76/3</f>
        <v>68.666666666666671</v>
      </c>
      <c r="J76">
        <f t="shared" ref="J76:J78" si="35">G76</f>
        <v>1.7</v>
      </c>
      <c r="K76">
        <f t="shared" ref="K76:K78" si="36">H76/(SQRT(3))</f>
        <v>0.34641016151377546</v>
      </c>
      <c r="L76">
        <f t="shared" si="18"/>
        <v>0.76</v>
      </c>
      <c r="M76">
        <f t="shared" si="19"/>
        <v>0.70873786407766992</v>
      </c>
      <c r="N76">
        <f t="shared" si="0"/>
        <v>0.73436893203883491</v>
      </c>
      <c r="O76">
        <v>54.6</v>
      </c>
      <c r="P76">
        <v>46.6</v>
      </c>
      <c r="Q76">
        <f t="shared" si="1"/>
        <v>50.6</v>
      </c>
      <c r="R76" t="s">
        <v>26</v>
      </c>
      <c r="S76" t="s">
        <v>23</v>
      </c>
      <c r="T76" t="s">
        <v>23</v>
      </c>
      <c r="U76" t="s">
        <v>76</v>
      </c>
      <c r="V76" t="s">
        <v>29</v>
      </c>
    </row>
    <row r="77" spans="1:22" x14ac:dyDescent="0.2">
      <c r="A77" t="s">
        <v>75</v>
      </c>
      <c r="B77" t="s">
        <v>78</v>
      </c>
      <c r="C77">
        <v>144</v>
      </c>
      <c r="D77">
        <v>2</v>
      </c>
      <c r="E77">
        <v>1</v>
      </c>
      <c r="F77">
        <v>206</v>
      </c>
      <c r="G77">
        <v>1.7</v>
      </c>
      <c r="H77">
        <v>0.6</v>
      </c>
      <c r="I77">
        <f t="shared" ref="I77:I78" si="37">F77/3</f>
        <v>68.666666666666671</v>
      </c>
      <c r="J77">
        <f t="shared" si="35"/>
        <v>1.7</v>
      </c>
      <c r="K77">
        <f t="shared" si="36"/>
        <v>0.34641016151377546</v>
      </c>
      <c r="L77">
        <f t="shared" ref="L77:L78" si="38">310/(407)</f>
        <v>0.76167076167076164</v>
      </c>
      <c r="M77">
        <f t="shared" si="19"/>
        <v>0.70873786407766992</v>
      </c>
      <c r="N77">
        <f t="shared" si="0"/>
        <v>0.73520431287421584</v>
      </c>
      <c r="O77">
        <v>54.6</v>
      </c>
      <c r="P77">
        <v>46.6</v>
      </c>
      <c r="Q77">
        <f t="shared" si="1"/>
        <v>50.6</v>
      </c>
      <c r="R77" t="s">
        <v>26</v>
      </c>
      <c r="S77" t="s">
        <v>23</v>
      </c>
      <c r="T77" t="s">
        <v>23</v>
      </c>
      <c r="U77" t="s">
        <v>76</v>
      </c>
      <c r="V77" t="s">
        <v>29</v>
      </c>
    </row>
    <row r="78" spans="1:22" x14ac:dyDescent="0.2">
      <c r="A78" t="s">
        <v>75</v>
      </c>
      <c r="B78" t="s">
        <v>78</v>
      </c>
      <c r="C78">
        <v>113</v>
      </c>
      <c r="D78">
        <v>2.2999999999999998</v>
      </c>
      <c r="E78">
        <v>1.6</v>
      </c>
      <c r="F78">
        <v>206</v>
      </c>
      <c r="G78">
        <v>1.7</v>
      </c>
      <c r="H78">
        <v>0.6</v>
      </c>
      <c r="I78">
        <f t="shared" si="37"/>
        <v>68.666666666666671</v>
      </c>
      <c r="J78">
        <f t="shared" si="35"/>
        <v>1.7</v>
      </c>
      <c r="K78">
        <f t="shared" si="36"/>
        <v>0.34641016151377546</v>
      </c>
      <c r="L78">
        <f t="shared" si="38"/>
        <v>0.76167076167076164</v>
      </c>
      <c r="M78">
        <f t="shared" si="19"/>
        <v>0.70873786407766992</v>
      </c>
      <c r="N78">
        <f t="shared" si="0"/>
        <v>0.73520431287421584</v>
      </c>
      <c r="O78">
        <v>54.6</v>
      </c>
      <c r="P78">
        <v>46.6</v>
      </c>
      <c r="Q78">
        <f t="shared" si="1"/>
        <v>50.6</v>
      </c>
      <c r="R78" t="s">
        <v>26</v>
      </c>
      <c r="S78" t="s">
        <v>23</v>
      </c>
      <c r="T78" t="s">
        <v>23</v>
      </c>
      <c r="U78" t="s">
        <v>76</v>
      </c>
      <c r="V78" t="s">
        <v>29</v>
      </c>
    </row>
    <row r="79" spans="1:22" x14ac:dyDescent="0.2">
      <c r="A79" t="s">
        <v>79</v>
      </c>
      <c r="B79" t="s">
        <v>25</v>
      </c>
      <c r="C79">
        <v>108</v>
      </c>
      <c r="D79">
        <v>9.2100000000000009</v>
      </c>
      <c r="E79">
        <v>6.32</v>
      </c>
      <c r="F79">
        <v>52</v>
      </c>
      <c r="G79">
        <v>15.76</v>
      </c>
      <c r="H79">
        <v>11.85</v>
      </c>
      <c r="I79">
        <v>52</v>
      </c>
      <c r="J79">
        <v>15.76</v>
      </c>
      <c r="K79">
        <v>11.85</v>
      </c>
      <c r="L79">
        <f>94/108</f>
        <v>0.87037037037037035</v>
      </c>
      <c r="M79">
        <f>46/52</f>
        <v>0.88461538461538458</v>
      </c>
      <c r="N79">
        <f t="shared" si="0"/>
        <v>0.87749287749287741</v>
      </c>
      <c r="O79">
        <v>44.7</v>
      </c>
      <c r="P79">
        <v>41.3</v>
      </c>
      <c r="Q79">
        <f t="shared" si="1"/>
        <v>43</v>
      </c>
      <c r="R79" t="s">
        <v>26</v>
      </c>
      <c r="S79" t="s">
        <v>23</v>
      </c>
      <c r="T79" t="s">
        <v>36</v>
      </c>
      <c r="U79" t="s">
        <v>80</v>
      </c>
      <c r="V79" t="s">
        <v>23</v>
      </c>
    </row>
    <row r="80" spans="1:22" x14ac:dyDescent="0.2">
      <c r="A80" t="s">
        <v>79</v>
      </c>
      <c r="B80" t="s">
        <v>25</v>
      </c>
      <c r="C80">
        <v>57</v>
      </c>
      <c r="D80">
        <v>10.5</v>
      </c>
      <c r="E80">
        <v>7.1</v>
      </c>
      <c r="F80">
        <v>52</v>
      </c>
      <c r="G80">
        <v>15.76</v>
      </c>
      <c r="H80">
        <v>11.85</v>
      </c>
      <c r="I80">
        <f>F80/2</f>
        <v>26</v>
      </c>
      <c r="J80">
        <f t="shared" ref="J80:J81" si="39">G80</f>
        <v>15.76</v>
      </c>
      <c r="K80">
        <f>H80/(SQRT(2))</f>
        <v>8.3792153570605876</v>
      </c>
      <c r="L80">
        <f>94/108</f>
        <v>0.87037037037037035</v>
      </c>
      <c r="M80">
        <f>46/52</f>
        <v>0.88461538461538458</v>
      </c>
      <c r="N80">
        <f t="shared" si="0"/>
        <v>0.87749287749287741</v>
      </c>
      <c r="O80">
        <v>44.7</v>
      </c>
      <c r="P80">
        <v>41.3</v>
      </c>
      <c r="Q80">
        <f t="shared" si="1"/>
        <v>43</v>
      </c>
      <c r="R80" t="s">
        <v>26</v>
      </c>
      <c r="S80" t="s">
        <v>23</v>
      </c>
      <c r="T80" t="s">
        <v>36</v>
      </c>
      <c r="U80" t="s">
        <v>80</v>
      </c>
      <c r="V80" t="s">
        <v>23</v>
      </c>
    </row>
    <row r="81" spans="1:22" x14ac:dyDescent="0.2">
      <c r="A81" t="s">
        <v>79</v>
      </c>
      <c r="B81" t="s">
        <v>25</v>
      </c>
      <c r="C81">
        <v>51</v>
      </c>
      <c r="D81">
        <v>7.7</v>
      </c>
      <c r="E81">
        <v>5</v>
      </c>
      <c r="F81">
        <v>52</v>
      </c>
      <c r="G81">
        <v>15.76</v>
      </c>
      <c r="H81">
        <v>11.85</v>
      </c>
      <c r="I81">
        <f>F81/2</f>
        <v>26</v>
      </c>
      <c r="J81">
        <f t="shared" si="39"/>
        <v>15.76</v>
      </c>
      <c r="K81">
        <f>H81/(SQRT(2))</f>
        <v>8.3792153570605876</v>
      </c>
      <c r="L81">
        <f>94/108</f>
        <v>0.87037037037037035</v>
      </c>
      <c r="M81">
        <f>46/52</f>
        <v>0.88461538461538458</v>
      </c>
      <c r="N81">
        <f t="shared" si="0"/>
        <v>0.87749287749287741</v>
      </c>
      <c r="O81">
        <v>44.7</v>
      </c>
      <c r="P81">
        <v>41.3</v>
      </c>
      <c r="Q81">
        <f t="shared" si="1"/>
        <v>43</v>
      </c>
      <c r="R81" t="s">
        <v>26</v>
      </c>
      <c r="S81" t="s">
        <v>23</v>
      </c>
      <c r="T81" t="s">
        <v>36</v>
      </c>
      <c r="U81" t="s">
        <v>80</v>
      </c>
      <c r="V81" t="s">
        <v>23</v>
      </c>
    </row>
    <row r="82" spans="1:22" x14ac:dyDescent="0.2">
      <c r="A82" t="s">
        <v>81</v>
      </c>
      <c r="B82" t="s">
        <v>46</v>
      </c>
      <c r="C82">
        <v>40</v>
      </c>
      <c r="D82">
        <v>3.84</v>
      </c>
      <c r="E82">
        <v>0.44</v>
      </c>
      <c r="F82" t="s">
        <v>24</v>
      </c>
      <c r="G82" t="s">
        <v>24</v>
      </c>
      <c r="H82" t="s">
        <v>24</v>
      </c>
      <c r="I82">
        <v>40</v>
      </c>
      <c r="J82">
        <v>3.85</v>
      </c>
      <c r="K82">
        <v>0.35</v>
      </c>
      <c r="L82">
        <v>1</v>
      </c>
      <c r="M82">
        <v>1</v>
      </c>
      <c r="N82">
        <f t="shared" si="0"/>
        <v>1</v>
      </c>
      <c r="O82">
        <v>45.07</v>
      </c>
      <c r="P82">
        <v>45.32</v>
      </c>
      <c r="Q82">
        <f t="shared" si="1"/>
        <v>45.195</v>
      </c>
      <c r="R82" t="s">
        <v>26</v>
      </c>
      <c r="S82" t="s">
        <v>23</v>
      </c>
      <c r="T82" t="s">
        <v>36</v>
      </c>
      <c r="U82" t="s">
        <v>32</v>
      </c>
      <c r="V82" t="s">
        <v>29</v>
      </c>
    </row>
    <row r="83" spans="1:22" x14ac:dyDescent="0.2">
      <c r="A83" t="s">
        <v>81</v>
      </c>
      <c r="B83" t="s">
        <v>44</v>
      </c>
      <c r="C83">
        <v>40</v>
      </c>
      <c r="D83">
        <v>3.2</v>
      </c>
      <c r="E83">
        <v>0.71</v>
      </c>
      <c r="F83" t="s">
        <v>24</v>
      </c>
      <c r="G83" t="s">
        <v>24</v>
      </c>
      <c r="H83" t="s">
        <v>24</v>
      </c>
      <c r="I83">
        <v>40</v>
      </c>
      <c r="J83">
        <v>2.92</v>
      </c>
      <c r="K83">
        <v>1.33</v>
      </c>
      <c r="L83">
        <v>1</v>
      </c>
      <c r="M83">
        <v>1</v>
      </c>
      <c r="N83">
        <f t="shared" si="0"/>
        <v>1</v>
      </c>
      <c r="O83">
        <v>45.07</v>
      </c>
      <c r="P83">
        <v>45.32</v>
      </c>
      <c r="Q83">
        <f t="shared" si="1"/>
        <v>45.195</v>
      </c>
      <c r="R83" t="s">
        <v>26</v>
      </c>
      <c r="S83" t="s">
        <v>23</v>
      </c>
      <c r="T83" t="s">
        <v>36</v>
      </c>
      <c r="U83" t="s">
        <v>32</v>
      </c>
      <c r="V83" t="s">
        <v>29</v>
      </c>
    </row>
    <row r="84" spans="1:22" x14ac:dyDescent="0.2">
      <c r="A84" t="s">
        <v>81</v>
      </c>
      <c r="B84" t="s">
        <v>34</v>
      </c>
      <c r="C84">
        <v>40</v>
      </c>
      <c r="D84">
        <v>3.37</v>
      </c>
      <c r="E84">
        <v>1.26</v>
      </c>
      <c r="F84" t="s">
        <v>24</v>
      </c>
      <c r="G84" t="s">
        <v>24</v>
      </c>
      <c r="H84" t="s">
        <v>24</v>
      </c>
      <c r="I84">
        <v>40</v>
      </c>
      <c r="J84">
        <v>3.29</v>
      </c>
      <c r="K84">
        <v>1.56</v>
      </c>
      <c r="L84">
        <v>1</v>
      </c>
      <c r="M84">
        <v>1</v>
      </c>
      <c r="N84">
        <f t="shared" si="0"/>
        <v>1</v>
      </c>
      <c r="O84">
        <v>45.07</v>
      </c>
      <c r="P84">
        <v>45.32</v>
      </c>
      <c r="Q84">
        <f t="shared" si="1"/>
        <v>45.195</v>
      </c>
      <c r="R84" t="s">
        <v>26</v>
      </c>
      <c r="S84" t="s">
        <v>23</v>
      </c>
      <c r="T84" t="s">
        <v>36</v>
      </c>
      <c r="U84" t="s">
        <v>32</v>
      </c>
      <c r="V84" t="s">
        <v>29</v>
      </c>
    </row>
    <row r="85" spans="1:22" x14ac:dyDescent="0.2">
      <c r="A85" t="s">
        <v>81</v>
      </c>
      <c r="B85" t="s">
        <v>82</v>
      </c>
      <c r="C85">
        <v>40</v>
      </c>
      <c r="D85">
        <v>6.21</v>
      </c>
      <c r="E85">
        <v>3.38</v>
      </c>
      <c r="F85" t="s">
        <v>24</v>
      </c>
      <c r="G85" t="s">
        <v>24</v>
      </c>
      <c r="H85" t="s">
        <v>24</v>
      </c>
      <c r="I85">
        <v>40</v>
      </c>
      <c r="J85">
        <v>6.04</v>
      </c>
      <c r="K85">
        <v>4.38</v>
      </c>
      <c r="L85">
        <v>1</v>
      </c>
      <c r="M85">
        <v>1</v>
      </c>
      <c r="N85">
        <f t="shared" si="0"/>
        <v>1</v>
      </c>
      <c r="O85">
        <v>45.07</v>
      </c>
      <c r="P85">
        <v>45.32</v>
      </c>
      <c r="Q85">
        <f t="shared" si="1"/>
        <v>45.195</v>
      </c>
      <c r="R85" t="s">
        <v>26</v>
      </c>
      <c r="S85" t="s">
        <v>23</v>
      </c>
      <c r="T85" t="s">
        <v>36</v>
      </c>
      <c r="U85" t="s">
        <v>32</v>
      </c>
      <c r="V85" t="s">
        <v>29</v>
      </c>
    </row>
    <row r="86" spans="1:22" x14ac:dyDescent="0.2">
      <c r="A86" t="s">
        <v>83</v>
      </c>
      <c r="B86" t="s">
        <v>65</v>
      </c>
      <c r="C86">
        <v>26</v>
      </c>
      <c r="D86">
        <v>5.78</v>
      </c>
      <c r="E86">
        <v>3.6749999999999998</v>
      </c>
      <c r="F86" t="s">
        <v>24</v>
      </c>
      <c r="G86" t="s">
        <v>24</v>
      </c>
      <c r="H86" t="s">
        <v>24</v>
      </c>
      <c r="I86">
        <v>26</v>
      </c>
      <c r="J86">
        <v>3.4039999999999999</v>
      </c>
      <c r="K86">
        <v>3.0085999999999999</v>
      </c>
      <c r="L86">
        <f>21/26</f>
        <v>0.80769230769230771</v>
      </c>
      <c r="M86">
        <f>18/26</f>
        <v>0.69230769230769229</v>
      </c>
      <c r="N86">
        <f t="shared" si="0"/>
        <v>0.75</v>
      </c>
      <c r="O86">
        <v>56.4</v>
      </c>
      <c r="P86">
        <v>54</v>
      </c>
      <c r="Q86">
        <f t="shared" si="1"/>
        <v>55.2</v>
      </c>
      <c r="R86" t="s">
        <v>26</v>
      </c>
      <c r="S86" t="s">
        <v>23</v>
      </c>
      <c r="T86" t="s">
        <v>84</v>
      </c>
      <c r="U86" t="s">
        <v>85</v>
      </c>
      <c r="V86" t="s">
        <v>23</v>
      </c>
    </row>
    <row r="87" spans="1:22" x14ac:dyDescent="0.2">
      <c r="A87" t="s">
        <v>83</v>
      </c>
      <c r="B87" t="s">
        <v>31</v>
      </c>
      <c r="C87">
        <v>26</v>
      </c>
      <c r="D87">
        <v>51.556000000000004</v>
      </c>
      <c r="E87">
        <v>11.152400000000002</v>
      </c>
      <c r="F87" t="s">
        <v>24</v>
      </c>
      <c r="G87" t="s">
        <v>24</v>
      </c>
      <c r="H87" t="s">
        <v>24</v>
      </c>
      <c r="I87">
        <v>26</v>
      </c>
      <c r="J87">
        <v>31.852</v>
      </c>
      <c r="K87">
        <v>14.513800000000002</v>
      </c>
      <c r="L87">
        <f>21/26</f>
        <v>0.80769230769230771</v>
      </c>
      <c r="M87">
        <f>18/26</f>
        <v>0.69230769230769229</v>
      </c>
      <c r="N87">
        <f t="shared" si="0"/>
        <v>0.75</v>
      </c>
      <c r="O87">
        <v>56.4</v>
      </c>
      <c r="P87">
        <v>54</v>
      </c>
      <c r="Q87">
        <f t="shared" si="1"/>
        <v>55.2</v>
      </c>
      <c r="R87" t="s">
        <v>26</v>
      </c>
      <c r="S87" t="s">
        <v>23</v>
      </c>
      <c r="T87" t="s">
        <v>84</v>
      </c>
      <c r="U87" t="s">
        <v>85</v>
      </c>
      <c r="V87" t="s">
        <v>23</v>
      </c>
    </row>
    <row r="88" spans="1:22" x14ac:dyDescent="0.2">
      <c r="A88" t="s">
        <v>83</v>
      </c>
      <c r="B88" t="s">
        <v>86</v>
      </c>
      <c r="C88">
        <v>26</v>
      </c>
      <c r="D88">
        <v>22.888000000000002</v>
      </c>
      <c r="E88">
        <v>13.808199999999999</v>
      </c>
      <c r="F88" t="s">
        <v>24</v>
      </c>
      <c r="G88" t="s">
        <v>24</v>
      </c>
      <c r="H88" t="s">
        <v>24</v>
      </c>
      <c r="I88">
        <v>26</v>
      </c>
      <c r="J88">
        <v>14.514000000000001</v>
      </c>
      <c r="K88">
        <v>14.964600000000001</v>
      </c>
      <c r="L88">
        <f t="shared" ref="L88:L111" si="40">21/26</f>
        <v>0.80769230769230771</v>
      </c>
      <c r="M88">
        <f t="shared" ref="M88:M111" si="41">18/26</f>
        <v>0.69230769230769229</v>
      </c>
      <c r="N88">
        <f t="shared" ref="N88:N151" si="42">AVERAGE(L88:M88)</f>
        <v>0.75</v>
      </c>
      <c r="O88">
        <v>56.4</v>
      </c>
      <c r="P88">
        <v>54</v>
      </c>
      <c r="Q88">
        <f t="shared" ref="Q88:Q151" si="43">AVERAGE(O88:P88)</f>
        <v>55.2</v>
      </c>
      <c r="R88" t="s">
        <v>26</v>
      </c>
      <c r="S88" t="s">
        <v>23</v>
      </c>
      <c r="T88" t="s">
        <v>84</v>
      </c>
      <c r="U88" t="s">
        <v>85</v>
      </c>
      <c r="V88" t="s">
        <v>23</v>
      </c>
    </row>
    <row r="89" spans="1:22" x14ac:dyDescent="0.2">
      <c r="A89" t="s">
        <v>83</v>
      </c>
      <c r="B89" t="s">
        <v>87</v>
      </c>
      <c r="C89">
        <v>26</v>
      </c>
      <c r="D89">
        <v>40.141999999999996</v>
      </c>
      <c r="E89">
        <v>11.671799999999999</v>
      </c>
      <c r="F89" t="s">
        <v>24</v>
      </c>
      <c r="G89" t="s">
        <v>24</v>
      </c>
      <c r="H89" t="s">
        <v>24</v>
      </c>
      <c r="I89">
        <v>26</v>
      </c>
      <c r="J89">
        <v>23.470000000000002</v>
      </c>
      <c r="K89">
        <v>14.405999999999999</v>
      </c>
      <c r="L89">
        <f t="shared" si="40"/>
        <v>0.80769230769230771</v>
      </c>
      <c r="M89">
        <f t="shared" si="41"/>
        <v>0.69230769230769229</v>
      </c>
      <c r="N89">
        <f t="shared" si="42"/>
        <v>0.75</v>
      </c>
      <c r="O89">
        <v>56.4</v>
      </c>
      <c r="P89">
        <v>54</v>
      </c>
      <c r="Q89">
        <f t="shared" si="43"/>
        <v>55.2</v>
      </c>
      <c r="R89" t="s">
        <v>26</v>
      </c>
      <c r="S89" t="s">
        <v>23</v>
      </c>
      <c r="T89" t="s">
        <v>84</v>
      </c>
      <c r="U89" t="s">
        <v>85</v>
      </c>
      <c r="V89" t="s">
        <v>23</v>
      </c>
    </row>
    <row r="90" spans="1:22" x14ac:dyDescent="0.2">
      <c r="A90" t="s">
        <v>83</v>
      </c>
      <c r="B90" t="s">
        <v>88</v>
      </c>
      <c r="C90">
        <v>26</v>
      </c>
      <c r="D90">
        <v>16.532</v>
      </c>
      <c r="E90">
        <v>8.5848000000000013</v>
      </c>
      <c r="F90" t="s">
        <v>24</v>
      </c>
      <c r="G90" t="s">
        <v>24</v>
      </c>
      <c r="H90" t="s">
        <v>24</v>
      </c>
      <c r="I90">
        <v>26</v>
      </c>
      <c r="J90">
        <v>10.39</v>
      </c>
      <c r="K90">
        <v>12.543999999999999</v>
      </c>
      <c r="L90">
        <f t="shared" si="40"/>
        <v>0.80769230769230771</v>
      </c>
      <c r="M90">
        <f t="shared" si="41"/>
        <v>0.69230769230769229</v>
      </c>
      <c r="N90">
        <f t="shared" si="42"/>
        <v>0.75</v>
      </c>
      <c r="O90">
        <v>56.4</v>
      </c>
      <c r="P90">
        <v>54</v>
      </c>
      <c r="Q90">
        <f t="shared" si="43"/>
        <v>55.2</v>
      </c>
      <c r="R90" t="s">
        <v>26</v>
      </c>
      <c r="S90" t="s">
        <v>23</v>
      </c>
      <c r="T90" t="s">
        <v>84</v>
      </c>
      <c r="U90" t="s">
        <v>85</v>
      </c>
      <c r="V90" t="s">
        <v>23</v>
      </c>
    </row>
    <row r="91" spans="1:22" x14ac:dyDescent="0.2">
      <c r="A91" t="s">
        <v>83</v>
      </c>
      <c r="B91" t="s">
        <v>89</v>
      </c>
      <c r="C91">
        <v>26</v>
      </c>
      <c r="D91">
        <v>13.724</v>
      </c>
      <c r="E91">
        <v>11.534599999999999</v>
      </c>
      <c r="F91" t="s">
        <v>24</v>
      </c>
      <c r="G91" t="s">
        <v>24</v>
      </c>
      <c r="H91" t="s">
        <v>24</v>
      </c>
      <c r="I91">
        <v>26</v>
      </c>
      <c r="J91">
        <v>6.2880000000000003</v>
      </c>
      <c r="K91">
        <v>4.6942000000000004</v>
      </c>
      <c r="L91">
        <f t="shared" si="40"/>
        <v>0.80769230769230771</v>
      </c>
      <c r="M91">
        <f t="shared" si="41"/>
        <v>0.69230769230769229</v>
      </c>
      <c r="N91">
        <f t="shared" si="42"/>
        <v>0.75</v>
      </c>
      <c r="O91">
        <v>56.4</v>
      </c>
      <c r="P91">
        <v>54</v>
      </c>
      <c r="Q91">
        <f t="shared" si="43"/>
        <v>55.2</v>
      </c>
      <c r="R91" t="s">
        <v>26</v>
      </c>
      <c r="S91" t="s">
        <v>23</v>
      </c>
      <c r="T91" t="s">
        <v>84</v>
      </c>
      <c r="U91" t="s">
        <v>85</v>
      </c>
      <c r="V91" t="s">
        <v>23</v>
      </c>
    </row>
    <row r="92" spans="1:22" x14ac:dyDescent="0.2">
      <c r="A92" t="s">
        <v>83</v>
      </c>
      <c r="B92" t="s">
        <v>34</v>
      </c>
      <c r="C92">
        <v>26</v>
      </c>
      <c r="D92">
        <v>1.8719999999999999</v>
      </c>
      <c r="E92">
        <v>0.84279999999999988</v>
      </c>
      <c r="F92" t="s">
        <v>24</v>
      </c>
      <c r="G92" t="s">
        <v>24</v>
      </c>
      <c r="H92" t="s">
        <v>24</v>
      </c>
      <c r="I92">
        <v>26</v>
      </c>
      <c r="J92">
        <v>1.5580000000000001</v>
      </c>
      <c r="K92">
        <v>0.67620000000000013</v>
      </c>
      <c r="L92">
        <f t="shared" si="40"/>
        <v>0.80769230769230771</v>
      </c>
      <c r="M92">
        <f t="shared" si="41"/>
        <v>0.69230769230769229</v>
      </c>
      <c r="N92">
        <f t="shared" si="42"/>
        <v>0.75</v>
      </c>
      <c r="O92">
        <v>56.4</v>
      </c>
      <c r="P92">
        <v>54</v>
      </c>
      <c r="Q92">
        <f t="shared" si="43"/>
        <v>55.2</v>
      </c>
      <c r="R92" t="s">
        <v>26</v>
      </c>
      <c r="S92" t="s">
        <v>23</v>
      </c>
      <c r="T92" t="s">
        <v>84</v>
      </c>
      <c r="U92" t="s">
        <v>85</v>
      </c>
      <c r="V92" t="s">
        <v>23</v>
      </c>
    </row>
    <row r="93" spans="1:22" x14ac:dyDescent="0.2">
      <c r="A93" t="s">
        <v>83</v>
      </c>
      <c r="B93" t="s">
        <v>111</v>
      </c>
      <c r="C93">
        <v>26</v>
      </c>
      <c r="D93">
        <v>22.246000000000002</v>
      </c>
      <c r="E93">
        <v>11.789400000000001</v>
      </c>
      <c r="F93" t="s">
        <v>24</v>
      </c>
      <c r="G93" t="s">
        <v>24</v>
      </c>
      <c r="H93" t="s">
        <v>24</v>
      </c>
      <c r="I93">
        <v>26</v>
      </c>
      <c r="J93">
        <v>16.844000000000001</v>
      </c>
      <c r="K93">
        <v>8.0556000000000001</v>
      </c>
      <c r="L93">
        <f t="shared" si="40"/>
        <v>0.80769230769230771</v>
      </c>
      <c r="M93">
        <f t="shared" si="41"/>
        <v>0.69230769230769229</v>
      </c>
      <c r="N93">
        <f t="shared" si="42"/>
        <v>0.75</v>
      </c>
      <c r="O93">
        <v>56.4</v>
      </c>
      <c r="P93">
        <v>54</v>
      </c>
      <c r="Q93">
        <f t="shared" si="43"/>
        <v>55.2</v>
      </c>
      <c r="R93" t="s">
        <v>26</v>
      </c>
      <c r="S93" t="s">
        <v>23</v>
      </c>
      <c r="T93" t="s">
        <v>84</v>
      </c>
      <c r="U93" t="s">
        <v>85</v>
      </c>
      <c r="V93" t="s">
        <v>23</v>
      </c>
    </row>
    <row r="94" spans="1:22" x14ac:dyDescent="0.2">
      <c r="A94" t="s">
        <v>83</v>
      </c>
      <c r="B94" t="s">
        <v>90</v>
      </c>
      <c r="C94">
        <v>26</v>
      </c>
      <c r="D94">
        <v>42.014000000000003</v>
      </c>
      <c r="E94">
        <v>20.207599999999999</v>
      </c>
      <c r="F94" t="s">
        <v>24</v>
      </c>
      <c r="G94" t="s">
        <v>24</v>
      </c>
      <c r="H94" t="s">
        <v>24</v>
      </c>
      <c r="I94">
        <v>26</v>
      </c>
      <c r="J94">
        <v>38.716000000000001</v>
      </c>
      <c r="K94">
        <v>24.1374</v>
      </c>
      <c r="L94">
        <f t="shared" si="40"/>
        <v>0.80769230769230771</v>
      </c>
      <c r="M94">
        <f t="shared" si="41"/>
        <v>0.69230769230769229</v>
      </c>
      <c r="N94">
        <f t="shared" si="42"/>
        <v>0.75</v>
      </c>
      <c r="O94">
        <v>56.4</v>
      </c>
      <c r="P94">
        <v>54</v>
      </c>
      <c r="Q94">
        <f t="shared" si="43"/>
        <v>55.2</v>
      </c>
      <c r="R94" t="s">
        <v>26</v>
      </c>
      <c r="S94" t="s">
        <v>23</v>
      </c>
      <c r="T94" t="s">
        <v>84</v>
      </c>
      <c r="U94" t="s">
        <v>85</v>
      </c>
      <c r="V94" t="s">
        <v>23</v>
      </c>
    </row>
    <row r="95" spans="1:22" x14ac:dyDescent="0.2">
      <c r="A95" t="s">
        <v>83</v>
      </c>
      <c r="B95" t="s">
        <v>91</v>
      </c>
      <c r="C95">
        <v>26</v>
      </c>
      <c r="D95">
        <v>1.698</v>
      </c>
      <c r="E95">
        <v>0.82320000000000004</v>
      </c>
      <c r="F95" t="s">
        <v>24</v>
      </c>
      <c r="G95" t="s">
        <v>24</v>
      </c>
      <c r="H95" t="s">
        <v>24</v>
      </c>
      <c r="I95">
        <v>26</v>
      </c>
      <c r="J95">
        <v>1.3960000000000001</v>
      </c>
      <c r="K95">
        <v>1.5973999999999999</v>
      </c>
      <c r="L95">
        <f t="shared" si="40"/>
        <v>0.80769230769230771</v>
      </c>
      <c r="M95">
        <f t="shared" si="41"/>
        <v>0.69230769230769229</v>
      </c>
      <c r="N95">
        <f t="shared" si="42"/>
        <v>0.75</v>
      </c>
      <c r="O95">
        <v>56.4</v>
      </c>
      <c r="P95">
        <v>54</v>
      </c>
      <c r="Q95">
        <f t="shared" si="43"/>
        <v>55.2</v>
      </c>
      <c r="R95" t="s">
        <v>26</v>
      </c>
      <c r="S95" t="s">
        <v>23</v>
      </c>
      <c r="T95" t="s">
        <v>84</v>
      </c>
      <c r="U95" t="s">
        <v>85</v>
      </c>
      <c r="V95" t="s">
        <v>23</v>
      </c>
    </row>
    <row r="96" spans="1:22" x14ac:dyDescent="0.2">
      <c r="A96" t="s">
        <v>83</v>
      </c>
      <c r="B96" t="s">
        <v>46</v>
      </c>
      <c r="C96">
        <v>26</v>
      </c>
      <c r="D96">
        <v>3.6480000000000001</v>
      </c>
      <c r="E96">
        <v>3.7141999999999999</v>
      </c>
      <c r="F96" t="s">
        <v>24</v>
      </c>
      <c r="G96" t="s">
        <v>24</v>
      </c>
      <c r="H96" t="s">
        <v>24</v>
      </c>
      <c r="I96">
        <v>26</v>
      </c>
      <c r="J96">
        <v>0.75800000000000001</v>
      </c>
      <c r="K96">
        <v>3.7141999999999999</v>
      </c>
      <c r="L96">
        <f t="shared" si="40"/>
        <v>0.80769230769230771</v>
      </c>
      <c r="M96">
        <f t="shared" si="41"/>
        <v>0.69230769230769229</v>
      </c>
      <c r="N96">
        <f t="shared" si="42"/>
        <v>0.75</v>
      </c>
      <c r="O96">
        <v>56.4</v>
      </c>
      <c r="P96">
        <v>54</v>
      </c>
      <c r="Q96">
        <f t="shared" si="43"/>
        <v>55.2</v>
      </c>
      <c r="R96" t="s">
        <v>26</v>
      </c>
      <c r="S96" t="s">
        <v>23</v>
      </c>
      <c r="T96" t="s">
        <v>84</v>
      </c>
      <c r="U96" t="s">
        <v>85</v>
      </c>
      <c r="V96" t="s">
        <v>23</v>
      </c>
    </row>
    <row r="97" spans="1:22" x14ac:dyDescent="0.2">
      <c r="A97" t="s">
        <v>83</v>
      </c>
      <c r="B97" t="s">
        <v>92</v>
      </c>
      <c r="C97">
        <v>26</v>
      </c>
      <c r="D97">
        <v>0</v>
      </c>
      <c r="E97">
        <v>0</v>
      </c>
      <c r="F97" t="s">
        <v>24</v>
      </c>
      <c r="G97" t="s">
        <v>24</v>
      </c>
      <c r="H97" t="s">
        <v>24</v>
      </c>
      <c r="I97">
        <v>26</v>
      </c>
      <c r="J97">
        <v>0</v>
      </c>
      <c r="K97">
        <v>0</v>
      </c>
      <c r="L97">
        <f t="shared" si="40"/>
        <v>0.80769230769230771</v>
      </c>
      <c r="M97">
        <f t="shared" si="41"/>
        <v>0.69230769230769229</v>
      </c>
      <c r="N97">
        <f t="shared" si="42"/>
        <v>0.75</v>
      </c>
      <c r="O97">
        <v>56.4</v>
      </c>
      <c r="P97">
        <v>54</v>
      </c>
      <c r="Q97">
        <f t="shared" si="43"/>
        <v>55.2</v>
      </c>
      <c r="R97" t="s">
        <v>26</v>
      </c>
      <c r="S97" t="s">
        <v>23</v>
      </c>
      <c r="T97" t="s">
        <v>84</v>
      </c>
      <c r="U97" t="s">
        <v>85</v>
      </c>
      <c r="V97" t="s">
        <v>23</v>
      </c>
    </row>
    <row r="98" spans="1:22" x14ac:dyDescent="0.2">
      <c r="A98" t="s">
        <v>83</v>
      </c>
      <c r="B98" t="s">
        <v>93</v>
      </c>
      <c r="C98">
        <v>26</v>
      </c>
      <c r="D98">
        <v>0</v>
      </c>
      <c r="E98">
        <v>0</v>
      </c>
      <c r="F98" t="s">
        <v>24</v>
      </c>
      <c r="G98" t="s">
        <v>24</v>
      </c>
      <c r="H98" t="s">
        <v>24</v>
      </c>
      <c r="I98">
        <v>26</v>
      </c>
      <c r="J98">
        <v>0</v>
      </c>
      <c r="K98">
        <v>0</v>
      </c>
      <c r="L98">
        <f t="shared" si="40"/>
        <v>0.80769230769230771</v>
      </c>
      <c r="M98">
        <f t="shared" si="41"/>
        <v>0.69230769230769229</v>
      </c>
      <c r="N98">
        <f t="shared" si="42"/>
        <v>0.75</v>
      </c>
      <c r="O98">
        <v>56.4</v>
      </c>
      <c r="P98">
        <v>54</v>
      </c>
      <c r="Q98">
        <f t="shared" si="43"/>
        <v>55.2</v>
      </c>
      <c r="R98" t="s">
        <v>26</v>
      </c>
      <c r="S98" t="s">
        <v>23</v>
      </c>
      <c r="T98" t="s">
        <v>84</v>
      </c>
      <c r="U98" t="s">
        <v>85</v>
      </c>
      <c r="V98" t="s">
        <v>23</v>
      </c>
    </row>
    <row r="99" spans="1:22" x14ac:dyDescent="0.2">
      <c r="A99" t="s">
        <v>83</v>
      </c>
      <c r="B99" t="s">
        <v>94</v>
      </c>
      <c r="C99">
        <v>26</v>
      </c>
      <c r="D99">
        <v>0.752</v>
      </c>
      <c r="E99">
        <v>0.20579999999999996</v>
      </c>
      <c r="F99" t="s">
        <v>24</v>
      </c>
      <c r="G99" t="s">
        <v>24</v>
      </c>
      <c r="H99" t="s">
        <v>24</v>
      </c>
      <c r="I99">
        <v>26</v>
      </c>
      <c r="J99">
        <v>0.6339999999999999</v>
      </c>
      <c r="K99">
        <v>0.26459999999999995</v>
      </c>
      <c r="L99">
        <f t="shared" si="40"/>
        <v>0.80769230769230771</v>
      </c>
      <c r="M99">
        <f t="shared" si="41"/>
        <v>0.69230769230769229</v>
      </c>
      <c r="N99">
        <f t="shared" si="42"/>
        <v>0.75</v>
      </c>
      <c r="O99">
        <v>56.4</v>
      </c>
      <c r="P99">
        <v>54</v>
      </c>
      <c r="Q99">
        <f t="shared" si="43"/>
        <v>55.2</v>
      </c>
      <c r="R99" t="s">
        <v>26</v>
      </c>
      <c r="S99" t="s">
        <v>23</v>
      </c>
      <c r="T99" t="s">
        <v>84</v>
      </c>
      <c r="U99" t="s">
        <v>85</v>
      </c>
      <c r="V99" t="s">
        <v>23</v>
      </c>
    </row>
    <row r="100" spans="1:22" x14ac:dyDescent="0.2">
      <c r="A100" t="s">
        <v>83</v>
      </c>
      <c r="B100" t="s">
        <v>82</v>
      </c>
      <c r="C100">
        <v>26</v>
      </c>
      <c r="D100">
        <v>3.3580000000000001</v>
      </c>
      <c r="E100">
        <v>2.1951999999999998</v>
      </c>
      <c r="F100" t="s">
        <v>24</v>
      </c>
      <c r="G100" t="s">
        <v>24</v>
      </c>
      <c r="H100" t="s">
        <v>24</v>
      </c>
      <c r="I100">
        <v>26</v>
      </c>
      <c r="J100">
        <v>2.1660000000000004</v>
      </c>
      <c r="K100">
        <v>1.6954000000000002</v>
      </c>
      <c r="L100">
        <f t="shared" si="40"/>
        <v>0.80769230769230771</v>
      </c>
      <c r="M100">
        <f t="shared" si="41"/>
        <v>0.69230769230769229</v>
      </c>
      <c r="N100">
        <f t="shared" si="42"/>
        <v>0.75</v>
      </c>
      <c r="O100">
        <v>56.4</v>
      </c>
      <c r="P100">
        <v>54</v>
      </c>
      <c r="Q100">
        <f t="shared" si="43"/>
        <v>55.2</v>
      </c>
      <c r="R100" t="s">
        <v>26</v>
      </c>
      <c r="S100" t="s">
        <v>23</v>
      </c>
      <c r="T100" t="s">
        <v>84</v>
      </c>
      <c r="U100" t="s">
        <v>85</v>
      </c>
      <c r="V100" t="s">
        <v>23</v>
      </c>
    </row>
    <row r="101" spans="1:22" x14ac:dyDescent="0.2">
      <c r="A101" t="s">
        <v>83</v>
      </c>
      <c r="B101" t="s">
        <v>95</v>
      </c>
      <c r="C101">
        <v>26</v>
      </c>
      <c r="D101">
        <v>2.0819999999999999</v>
      </c>
      <c r="E101">
        <v>2.1657999999999999</v>
      </c>
      <c r="F101" t="s">
        <v>24</v>
      </c>
      <c r="G101" t="s">
        <v>24</v>
      </c>
      <c r="H101" t="s">
        <v>24</v>
      </c>
      <c r="I101">
        <v>26</v>
      </c>
      <c r="J101">
        <v>0.31400000000000006</v>
      </c>
      <c r="K101">
        <v>1.5386</v>
      </c>
      <c r="L101">
        <f t="shared" si="40"/>
        <v>0.80769230769230771</v>
      </c>
      <c r="M101">
        <f t="shared" si="41"/>
        <v>0.69230769230769229</v>
      </c>
      <c r="N101">
        <f t="shared" si="42"/>
        <v>0.75</v>
      </c>
      <c r="O101">
        <v>56.4</v>
      </c>
      <c r="P101">
        <v>54</v>
      </c>
      <c r="Q101">
        <f t="shared" si="43"/>
        <v>55.2</v>
      </c>
      <c r="R101" t="s">
        <v>26</v>
      </c>
      <c r="S101" t="s">
        <v>23</v>
      </c>
      <c r="T101" t="s">
        <v>84</v>
      </c>
      <c r="U101" t="s">
        <v>85</v>
      </c>
      <c r="V101" t="s">
        <v>23</v>
      </c>
    </row>
    <row r="102" spans="1:22" x14ac:dyDescent="0.2">
      <c r="A102" t="s">
        <v>83</v>
      </c>
      <c r="B102" t="s">
        <v>96</v>
      </c>
      <c r="C102">
        <v>26</v>
      </c>
      <c r="D102">
        <v>2.4159999999999999</v>
      </c>
      <c r="E102">
        <v>1.4994000000000001</v>
      </c>
      <c r="F102" t="s">
        <v>24</v>
      </c>
      <c r="G102" t="s">
        <v>24</v>
      </c>
      <c r="H102" t="s">
        <v>24</v>
      </c>
      <c r="I102">
        <v>26</v>
      </c>
      <c r="J102">
        <v>1.552</v>
      </c>
      <c r="K102">
        <v>0.74480000000000002</v>
      </c>
      <c r="L102">
        <f t="shared" si="40"/>
        <v>0.80769230769230771</v>
      </c>
      <c r="M102">
        <f t="shared" si="41"/>
        <v>0.69230769230769229</v>
      </c>
      <c r="N102">
        <f t="shared" si="42"/>
        <v>0.75</v>
      </c>
      <c r="O102">
        <v>56.4</v>
      </c>
      <c r="P102">
        <v>54</v>
      </c>
      <c r="Q102">
        <f t="shared" si="43"/>
        <v>55.2</v>
      </c>
      <c r="R102" t="s">
        <v>26</v>
      </c>
      <c r="S102" t="s">
        <v>23</v>
      </c>
      <c r="T102" t="s">
        <v>84</v>
      </c>
      <c r="U102" t="s">
        <v>85</v>
      </c>
      <c r="V102" t="s">
        <v>23</v>
      </c>
    </row>
    <row r="103" spans="1:22" x14ac:dyDescent="0.2">
      <c r="A103" t="s">
        <v>83</v>
      </c>
      <c r="B103" t="s">
        <v>132</v>
      </c>
      <c r="C103">
        <v>26</v>
      </c>
      <c r="D103">
        <v>2.476</v>
      </c>
      <c r="E103">
        <v>2.8714</v>
      </c>
      <c r="F103" t="s">
        <v>24</v>
      </c>
      <c r="G103" t="s">
        <v>24</v>
      </c>
      <c r="H103" t="s">
        <v>24</v>
      </c>
      <c r="I103">
        <v>26</v>
      </c>
      <c r="J103">
        <v>0.20600000000000002</v>
      </c>
      <c r="K103">
        <v>1.0094000000000001</v>
      </c>
      <c r="L103">
        <f t="shared" si="40"/>
        <v>0.80769230769230771</v>
      </c>
      <c r="M103">
        <f t="shared" si="41"/>
        <v>0.69230769230769229</v>
      </c>
      <c r="N103">
        <f t="shared" si="42"/>
        <v>0.75</v>
      </c>
      <c r="O103">
        <v>56.4</v>
      </c>
      <c r="P103">
        <v>54</v>
      </c>
      <c r="Q103">
        <f t="shared" si="43"/>
        <v>55.2</v>
      </c>
      <c r="R103" t="s">
        <v>26</v>
      </c>
      <c r="S103" t="s">
        <v>23</v>
      </c>
      <c r="T103" t="s">
        <v>84</v>
      </c>
      <c r="U103" t="s">
        <v>85</v>
      </c>
      <c r="V103" t="s">
        <v>23</v>
      </c>
    </row>
    <row r="104" spans="1:22" x14ac:dyDescent="0.2">
      <c r="A104" t="s">
        <v>83</v>
      </c>
      <c r="B104" t="s">
        <v>97</v>
      </c>
      <c r="C104">
        <v>26</v>
      </c>
      <c r="D104">
        <v>2.6040000000000001</v>
      </c>
      <c r="E104">
        <v>2.4206000000000003</v>
      </c>
      <c r="F104" t="s">
        <v>24</v>
      </c>
      <c r="G104" t="s">
        <v>24</v>
      </c>
      <c r="H104" t="s">
        <v>24</v>
      </c>
      <c r="I104">
        <v>26</v>
      </c>
      <c r="J104">
        <v>1.6099999999999999</v>
      </c>
      <c r="K104">
        <v>0.78400000000000003</v>
      </c>
      <c r="L104">
        <f t="shared" si="40"/>
        <v>0.80769230769230771</v>
      </c>
      <c r="M104">
        <f t="shared" si="41"/>
        <v>0.69230769230769229</v>
      </c>
      <c r="N104">
        <f t="shared" si="42"/>
        <v>0.75</v>
      </c>
      <c r="O104">
        <v>56.4</v>
      </c>
      <c r="P104">
        <v>54</v>
      </c>
      <c r="Q104">
        <f t="shared" si="43"/>
        <v>55.2</v>
      </c>
      <c r="R104" t="s">
        <v>26</v>
      </c>
      <c r="S104" t="s">
        <v>23</v>
      </c>
      <c r="T104" t="s">
        <v>84</v>
      </c>
      <c r="U104" t="s">
        <v>85</v>
      </c>
      <c r="V104" t="s">
        <v>23</v>
      </c>
    </row>
    <row r="105" spans="1:22" x14ac:dyDescent="0.2">
      <c r="A105" t="s">
        <v>83</v>
      </c>
      <c r="B105" t="s">
        <v>98</v>
      </c>
      <c r="C105">
        <v>26</v>
      </c>
      <c r="D105">
        <v>6.8</v>
      </c>
      <c r="E105">
        <v>4.2140000000000004</v>
      </c>
      <c r="F105" t="s">
        <v>24</v>
      </c>
      <c r="G105" t="s">
        <v>24</v>
      </c>
      <c r="H105" t="s">
        <v>24</v>
      </c>
      <c r="I105">
        <v>26</v>
      </c>
      <c r="J105">
        <v>1.8160000000000001</v>
      </c>
      <c r="K105">
        <v>1.99</v>
      </c>
      <c r="L105">
        <f t="shared" si="40"/>
        <v>0.80769230769230771</v>
      </c>
      <c r="M105">
        <f t="shared" si="41"/>
        <v>0.69230769230769229</v>
      </c>
      <c r="N105">
        <f t="shared" si="42"/>
        <v>0.75</v>
      </c>
      <c r="O105">
        <v>56.4</v>
      </c>
      <c r="P105">
        <v>54</v>
      </c>
      <c r="Q105">
        <f t="shared" si="43"/>
        <v>55.2</v>
      </c>
      <c r="R105" t="s">
        <v>26</v>
      </c>
      <c r="S105" t="s">
        <v>23</v>
      </c>
      <c r="T105" t="s">
        <v>84</v>
      </c>
      <c r="U105" t="s">
        <v>85</v>
      </c>
      <c r="V105" t="s">
        <v>23</v>
      </c>
    </row>
    <row r="106" spans="1:22" x14ac:dyDescent="0.2">
      <c r="A106" t="s">
        <v>83</v>
      </c>
      <c r="B106" t="s">
        <v>99</v>
      </c>
      <c r="C106">
        <v>26</v>
      </c>
      <c r="D106">
        <v>67.132000000000005</v>
      </c>
      <c r="E106">
        <v>51.6</v>
      </c>
      <c r="F106" t="s">
        <v>24</v>
      </c>
      <c r="G106" t="s">
        <v>24</v>
      </c>
      <c r="H106" t="s">
        <v>24</v>
      </c>
      <c r="I106">
        <v>26</v>
      </c>
      <c r="J106">
        <v>27.54</v>
      </c>
      <c r="K106">
        <v>26.263999999999999</v>
      </c>
      <c r="L106">
        <f t="shared" si="40"/>
        <v>0.80769230769230771</v>
      </c>
      <c r="M106">
        <f t="shared" si="41"/>
        <v>0.69230769230769229</v>
      </c>
      <c r="N106">
        <f t="shared" si="42"/>
        <v>0.75</v>
      </c>
      <c r="O106">
        <v>56.4</v>
      </c>
      <c r="P106">
        <v>54</v>
      </c>
      <c r="Q106">
        <f t="shared" si="43"/>
        <v>55.2</v>
      </c>
      <c r="R106" t="s">
        <v>26</v>
      </c>
      <c r="S106" t="s">
        <v>23</v>
      </c>
      <c r="T106" t="s">
        <v>84</v>
      </c>
      <c r="U106" t="s">
        <v>85</v>
      </c>
      <c r="V106" t="s">
        <v>23</v>
      </c>
    </row>
    <row r="107" spans="1:22" x14ac:dyDescent="0.2">
      <c r="A107" t="s">
        <v>83</v>
      </c>
      <c r="B107" t="s">
        <v>115</v>
      </c>
      <c r="C107">
        <v>26</v>
      </c>
      <c r="D107">
        <v>19.495999999999999</v>
      </c>
      <c r="E107">
        <v>6.89</v>
      </c>
      <c r="F107" t="s">
        <v>24</v>
      </c>
      <c r="G107" t="s">
        <v>24</v>
      </c>
      <c r="H107" t="s">
        <v>24</v>
      </c>
      <c r="I107">
        <v>26</v>
      </c>
      <c r="J107">
        <v>15.202</v>
      </c>
      <c r="K107">
        <v>9.27</v>
      </c>
      <c r="L107">
        <f t="shared" si="40"/>
        <v>0.80769230769230771</v>
      </c>
      <c r="M107">
        <f t="shared" si="41"/>
        <v>0.69230769230769229</v>
      </c>
      <c r="N107">
        <f t="shared" si="42"/>
        <v>0.75</v>
      </c>
      <c r="O107">
        <v>56.4</v>
      </c>
      <c r="P107">
        <v>54</v>
      </c>
      <c r="Q107">
        <f t="shared" si="43"/>
        <v>55.2</v>
      </c>
      <c r="R107" t="s">
        <v>26</v>
      </c>
      <c r="S107" t="s">
        <v>23</v>
      </c>
      <c r="T107" t="s">
        <v>84</v>
      </c>
      <c r="U107" t="s">
        <v>85</v>
      </c>
      <c r="V107" t="s">
        <v>23</v>
      </c>
    </row>
    <row r="108" spans="1:22" x14ac:dyDescent="0.2">
      <c r="A108" t="s">
        <v>83</v>
      </c>
      <c r="B108" t="s">
        <v>70</v>
      </c>
      <c r="C108">
        <v>26</v>
      </c>
      <c r="D108">
        <v>3.86</v>
      </c>
      <c r="E108">
        <v>1.99</v>
      </c>
      <c r="F108" t="s">
        <v>24</v>
      </c>
      <c r="G108" t="s">
        <v>24</v>
      </c>
      <c r="H108" t="s">
        <v>24</v>
      </c>
      <c r="I108">
        <v>26</v>
      </c>
      <c r="J108">
        <v>3.52</v>
      </c>
      <c r="K108">
        <v>1.42</v>
      </c>
      <c r="L108">
        <f t="shared" si="40"/>
        <v>0.80769230769230771</v>
      </c>
      <c r="M108">
        <f t="shared" si="41"/>
        <v>0.69230769230769229</v>
      </c>
      <c r="N108">
        <f t="shared" si="42"/>
        <v>0.75</v>
      </c>
      <c r="O108">
        <v>56.4</v>
      </c>
      <c r="P108">
        <v>54</v>
      </c>
      <c r="Q108">
        <f t="shared" si="43"/>
        <v>55.2</v>
      </c>
      <c r="R108" t="s">
        <v>26</v>
      </c>
      <c r="S108" t="s">
        <v>23</v>
      </c>
      <c r="T108" t="s">
        <v>84</v>
      </c>
      <c r="U108" t="s">
        <v>85</v>
      </c>
      <c r="V108" t="s">
        <v>23</v>
      </c>
    </row>
    <row r="109" spans="1:22" x14ac:dyDescent="0.2">
      <c r="A109" t="s">
        <v>83</v>
      </c>
      <c r="B109" t="s">
        <v>71</v>
      </c>
      <c r="C109">
        <v>26</v>
      </c>
      <c r="D109">
        <v>1.86</v>
      </c>
      <c r="E109">
        <v>0.73</v>
      </c>
      <c r="F109" t="s">
        <v>24</v>
      </c>
      <c r="G109" t="s">
        <v>24</v>
      </c>
      <c r="H109" t="s">
        <v>24</v>
      </c>
      <c r="I109">
        <v>26</v>
      </c>
      <c r="J109">
        <v>1.87</v>
      </c>
      <c r="K109">
        <v>0.73</v>
      </c>
      <c r="L109">
        <f t="shared" si="40"/>
        <v>0.80769230769230771</v>
      </c>
      <c r="M109">
        <f t="shared" si="41"/>
        <v>0.69230769230769229</v>
      </c>
      <c r="N109">
        <f t="shared" si="42"/>
        <v>0.75</v>
      </c>
      <c r="O109">
        <v>56.4</v>
      </c>
      <c r="P109">
        <v>54</v>
      </c>
      <c r="Q109">
        <f t="shared" si="43"/>
        <v>55.2</v>
      </c>
      <c r="R109" t="s">
        <v>26</v>
      </c>
      <c r="S109" t="s">
        <v>23</v>
      </c>
      <c r="T109" t="s">
        <v>84</v>
      </c>
      <c r="U109" t="s">
        <v>85</v>
      </c>
      <c r="V109" t="s">
        <v>23</v>
      </c>
    </row>
    <row r="110" spans="1:22" x14ac:dyDescent="0.2">
      <c r="A110" t="s">
        <v>83</v>
      </c>
      <c r="B110" t="s">
        <v>72</v>
      </c>
      <c r="C110">
        <v>26</v>
      </c>
      <c r="D110">
        <v>0.3</v>
      </c>
      <c r="E110">
        <v>0.21</v>
      </c>
      <c r="F110" t="s">
        <v>24</v>
      </c>
      <c r="G110" t="s">
        <v>24</v>
      </c>
      <c r="H110" t="s">
        <v>24</v>
      </c>
      <c r="I110">
        <v>26</v>
      </c>
      <c r="J110">
        <v>0.25</v>
      </c>
      <c r="K110">
        <v>0.1</v>
      </c>
      <c r="L110">
        <f t="shared" si="40"/>
        <v>0.80769230769230771</v>
      </c>
      <c r="M110">
        <f t="shared" si="41"/>
        <v>0.69230769230769229</v>
      </c>
      <c r="N110">
        <f t="shared" si="42"/>
        <v>0.75</v>
      </c>
      <c r="O110">
        <v>56.4</v>
      </c>
      <c r="P110">
        <v>54</v>
      </c>
      <c r="Q110">
        <f t="shared" si="43"/>
        <v>55.2</v>
      </c>
      <c r="R110" t="s">
        <v>26</v>
      </c>
      <c r="S110" t="s">
        <v>23</v>
      </c>
      <c r="T110" t="s">
        <v>84</v>
      </c>
      <c r="U110" t="s">
        <v>85</v>
      </c>
      <c r="V110" t="s">
        <v>23</v>
      </c>
    </row>
    <row r="111" spans="1:22" x14ac:dyDescent="0.2">
      <c r="A111" t="s">
        <v>83</v>
      </c>
      <c r="B111" t="s">
        <v>100</v>
      </c>
      <c r="C111">
        <v>26</v>
      </c>
      <c r="D111">
        <v>5.98</v>
      </c>
      <c r="E111">
        <v>2.81</v>
      </c>
      <c r="F111" t="s">
        <v>24</v>
      </c>
      <c r="G111" t="s">
        <v>24</v>
      </c>
      <c r="H111" t="s">
        <v>24</v>
      </c>
      <c r="I111">
        <v>26</v>
      </c>
      <c r="J111">
        <v>5.6</v>
      </c>
      <c r="K111">
        <v>1.99</v>
      </c>
      <c r="L111">
        <f t="shared" si="40"/>
        <v>0.80769230769230771</v>
      </c>
      <c r="M111">
        <f t="shared" si="41"/>
        <v>0.69230769230769229</v>
      </c>
      <c r="N111">
        <f t="shared" si="42"/>
        <v>0.75</v>
      </c>
      <c r="O111">
        <v>56.4</v>
      </c>
      <c r="P111">
        <v>54</v>
      </c>
      <c r="Q111">
        <f t="shared" si="43"/>
        <v>55.2</v>
      </c>
      <c r="R111" t="s">
        <v>26</v>
      </c>
      <c r="S111" t="s">
        <v>23</v>
      </c>
      <c r="T111" t="s">
        <v>84</v>
      </c>
      <c r="U111" t="s">
        <v>85</v>
      </c>
      <c r="V111" t="s">
        <v>23</v>
      </c>
    </row>
    <row r="112" spans="1:22" x14ac:dyDescent="0.2">
      <c r="A112" t="s">
        <v>101</v>
      </c>
      <c r="B112" t="s">
        <v>25</v>
      </c>
      <c r="C112">
        <v>50</v>
      </c>
      <c r="D112">
        <v>19.100000000000001</v>
      </c>
      <c r="E112">
        <v>6.2</v>
      </c>
      <c r="F112">
        <v>50</v>
      </c>
      <c r="G112">
        <v>30.4</v>
      </c>
      <c r="H112">
        <v>10.9</v>
      </c>
      <c r="I112">
        <v>50</v>
      </c>
      <c r="J112">
        <v>30.4</v>
      </c>
      <c r="K112">
        <v>10.9</v>
      </c>
      <c r="L112">
        <f>35/(15+35)</f>
        <v>0.7</v>
      </c>
      <c r="M112">
        <f>30/50</f>
        <v>0.6</v>
      </c>
      <c r="N112">
        <f t="shared" si="42"/>
        <v>0.64999999999999991</v>
      </c>
      <c r="O112">
        <v>42.3</v>
      </c>
      <c r="P112">
        <v>40.4</v>
      </c>
      <c r="Q112">
        <f t="shared" si="43"/>
        <v>41.349999999999994</v>
      </c>
      <c r="R112" t="s">
        <v>26</v>
      </c>
      <c r="S112" t="s">
        <v>23</v>
      </c>
      <c r="T112" t="s">
        <v>36</v>
      </c>
      <c r="U112" t="s">
        <v>80</v>
      </c>
      <c r="V112" t="s">
        <v>29</v>
      </c>
    </row>
    <row r="113" spans="1:22" x14ac:dyDescent="0.2">
      <c r="A113" t="s">
        <v>101</v>
      </c>
      <c r="B113" t="s">
        <v>25</v>
      </c>
      <c r="C113">
        <v>14</v>
      </c>
      <c r="D113">
        <v>12.6</v>
      </c>
      <c r="E113">
        <v>4.5</v>
      </c>
      <c r="F113">
        <v>50</v>
      </c>
      <c r="G113">
        <v>30.4</v>
      </c>
      <c r="H113">
        <v>10.9</v>
      </c>
      <c r="I113">
        <f>F113/3</f>
        <v>16.666666666666668</v>
      </c>
      <c r="J113">
        <f t="shared" ref="J113:J115" si="44">G113</f>
        <v>30.4</v>
      </c>
      <c r="K113">
        <f>H113/(SQRT(3))</f>
        <v>6.2931179341669212</v>
      </c>
      <c r="L113">
        <f>35/(15+35)</f>
        <v>0.7</v>
      </c>
      <c r="M113">
        <f>30/50</f>
        <v>0.6</v>
      </c>
      <c r="N113">
        <f t="shared" si="42"/>
        <v>0.64999999999999991</v>
      </c>
      <c r="O113">
        <v>42.3</v>
      </c>
      <c r="P113">
        <v>40.4</v>
      </c>
      <c r="Q113">
        <f t="shared" si="43"/>
        <v>41.349999999999994</v>
      </c>
      <c r="R113" t="s">
        <v>26</v>
      </c>
      <c r="S113" t="s">
        <v>23</v>
      </c>
      <c r="T113" t="s">
        <v>36</v>
      </c>
      <c r="U113" t="s">
        <v>80</v>
      </c>
      <c r="V113" t="s">
        <v>29</v>
      </c>
    </row>
    <row r="114" spans="1:22" x14ac:dyDescent="0.2">
      <c r="A114" t="s">
        <v>101</v>
      </c>
      <c r="B114" t="s">
        <v>25</v>
      </c>
      <c r="C114">
        <v>19</v>
      </c>
      <c r="D114">
        <v>20.5</v>
      </c>
      <c r="E114">
        <v>6.8</v>
      </c>
      <c r="F114">
        <v>50</v>
      </c>
      <c r="G114">
        <v>30.4</v>
      </c>
      <c r="H114">
        <v>10.9</v>
      </c>
      <c r="I114">
        <f t="shared" ref="I114:I115" si="45">F114/3</f>
        <v>16.666666666666668</v>
      </c>
      <c r="J114">
        <f t="shared" si="44"/>
        <v>30.4</v>
      </c>
      <c r="K114">
        <f>H114/(SQRT(3))</f>
        <v>6.2931179341669212</v>
      </c>
      <c r="L114">
        <f>35/(15+35)</f>
        <v>0.7</v>
      </c>
      <c r="M114">
        <f>30/50</f>
        <v>0.6</v>
      </c>
      <c r="N114">
        <f t="shared" si="42"/>
        <v>0.64999999999999991</v>
      </c>
      <c r="O114">
        <v>42.3</v>
      </c>
      <c r="P114">
        <v>40.4</v>
      </c>
      <c r="Q114">
        <f t="shared" si="43"/>
        <v>41.349999999999994</v>
      </c>
      <c r="R114" t="s">
        <v>26</v>
      </c>
      <c r="S114" t="s">
        <v>23</v>
      </c>
      <c r="T114" t="s">
        <v>36</v>
      </c>
      <c r="U114" t="s">
        <v>80</v>
      </c>
      <c r="V114" t="s">
        <v>29</v>
      </c>
    </row>
    <row r="115" spans="1:22" x14ac:dyDescent="0.2">
      <c r="A115" t="s">
        <v>101</v>
      </c>
      <c r="B115" t="s">
        <v>25</v>
      </c>
      <c r="C115">
        <v>17</v>
      </c>
      <c r="D115">
        <v>24.3</v>
      </c>
      <c r="E115">
        <v>7.2</v>
      </c>
      <c r="F115">
        <v>50</v>
      </c>
      <c r="G115">
        <v>30.4</v>
      </c>
      <c r="H115">
        <v>10.9</v>
      </c>
      <c r="I115">
        <f t="shared" si="45"/>
        <v>16.666666666666668</v>
      </c>
      <c r="J115">
        <f t="shared" si="44"/>
        <v>30.4</v>
      </c>
      <c r="K115">
        <f>H115/(SQRT(3))</f>
        <v>6.2931179341669212</v>
      </c>
      <c r="L115">
        <f>35/(15+35)</f>
        <v>0.7</v>
      </c>
      <c r="M115">
        <f>30/50</f>
        <v>0.6</v>
      </c>
      <c r="N115">
        <f t="shared" si="42"/>
        <v>0.64999999999999991</v>
      </c>
      <c r="O115">
        <v>42.3</v>
      </c>
      <c r="P115">
        <v>40.4</v>
      </c>
      <c r="Q115">
        <f t="shared" si="43"/>
        <v>41.349999999999994</v>
      </c>
      <c r="R115" t="s">
        <v>26</v>
      </c>
      <c r="S115" t="s">
        <v>23</v>
      </c>
      <c r="T115" t="s">
        <v>36</v>
      </c>
      <c r="U115" t="s">
        <v>80</v>
      </c>
      <c r="V115" t="s">
        <v>29</v>
      </c>
    </row>
    <row r="116" spans="1:22" x14ac:dyDescent="0.2">
      <c r="A116" t="s">
        <v>102</v>
      </c>
      <c r="B116" t="s">
        <v>103</v>
      </c>
      <c r="C116">
        <v>185</v>
      </c>
      <c r="D116">
        <v>107.42</v>
      </c>
      <c r="E116">
        <v>50.43</v>
      </c>
      <c r="F116" t="s">
        <v>24</v>
      </c>
      <c r="G116" t="s">
        <v>24</v>
      </c>
      <c r="H116" t="s">
        <v>24</v>
      </c>
      <c r="I116">
        <v>219</v>
      </c>
      <c r="J116">
        <v>99.99</v>
      </c>
      <c r="K116">
        <v>42.86</v>
      </c>
      <c r="L116">
        <f>153/185</f>
        <v>0.82702702702702702</v>
      </c>
      <c r="M116">
        <f>138/219</f>
        <v>0.63013698630136983</v>
      </c>
      <c r="N116">
        <f t="shared" si="42"/>
        <v>0.72858200666419837</v>
      </c>
      <c r="O116">
        <v>54</v>
      </c>
      <c r="P116">
        <v>52</v>
      </c>
      <c r="Q116">
        <f t="shared" si="43"/>
        <v>53</v>
      </c>
      <c r="R116" t="s">
        <v>26</v>
      </c>
      <c r="S116" t="s">
        <v>23</v>
      </c>
      <c r="T116" t="s">
        <v>23</v>
      </c>
      <c r="U116" t="s">
        <v>23</v>
      </c>
      <c r="V116" t="s">
        <v>29</v>
      </c>
    </row>
    <row r="117" spans="1:22" x14ac:dyDescent="0.2">
      <c r="A117" t="s">
        <v>102</v>
      </c>
      <c r="B117" t="s">
        <v>104</v>
      </c>
      <c r="C117">
        <v>185</v>
      </c>
      <c r="D117">
        <v>61.58</v>
      </c>
      <c r="E117">
        <v>15.72</v>
      </c>
      <c r="F117" t="s">
        <v>24</v>
      </c>
      <c r="G117" t="s">
        <v>24</v>
      </c>
      <c r="H117" t="s">
        <v>24</v>
      </c>
      <c r="I117">
        <v>219</v>
      </c>
      <c r="J117">
        <v>55.82</v>
      </c>
      <c r="K117">
        <v>16.100000000000001</v>
      </c>
      <c r="L117">
        <f>153/185</f>
        <v>0.82702702702702702</v>
      </c>
      <c r="M117">
        <f>138/219</f>
        <v>0.63013698630136983</v>
      </c>
      <c r="N117">
        <f t="shared" si="42"/>
        <v>0.72858200666419837</v>
      </c>
      <c r="O117">
        <v>54</v>
      </c>
      <c r="P117">
        <v>52</v>
      </c>
      <c r="Q117">
        <f t="shared" si="43"/>
        <v>53</v>
      </c>
      <c r="R117" t="s">
        <v>26</v>
      </c>
      <c r="S117" t="s">
        <v>23</v>
      </c>
      <c r="T117" t="s">
        <v>23</v>
      </c>
      <c r="U117" t="s">
        <v>23</v>
      </c>
      <c r="V117" t="s">
        <v>29</v>
      </c>
    </row>
    <row r="118" spans="1:22" x14ac:dyDescent="0.2">
      <c r="A118" t="s">
        <v>102</v>
      </c>
      <c r="B118" t="s">
        <v>105</v>
      </c>
      <c r="C118">
        <v>185</v>
      </c>
      <c r="D118">
        <v>155.47999999999999</v>
      </c>
      <c r="E118">
        <v>26.95</v>
      </c>
      <c r="F118" t="s">
        <v>24</v>
      </c>
      <c r="G118" t="s">
        <v>24</v>
      </c>
      <c r="H118" t="s">
        <v>24</v>
      </c>
      <c r="I118">
        <v>219</v>
      </c>
      <c r="J118">
        <v>113.19</v>
      </c>
      <c r="K118">
        <v>28.58</v>
      </c>
      <c r="L118">
        <f>153/185</f>
        <v>0.82702702702702702</v>
      </c>
      <c r="M118">
        <f>138/219</f>
        <v>0.63013698630136983</v>
      </c>
      <c r="N118">
        <f t="shared" si="42"/>
        <v>0.72858200666419837</v>
      </c>
      <c r="O118">
        <v>54</v>
      </c>
      <c r="P118">
        <v>52</v>
      </c>
      <c r="Q118">
        <f t="shared" si="43"/>
        <v>53</v>
      </c>
      <c r="R118" t="s">
        <v>26</v>
      </c>
      <c r="S118" t="s">
        <v>23</v>
      </c>
      <c r="T118" t="s">
        <v>23</v>
      </c>
      <c r="U118" t="s">
        <v>23</v>
      </c>
      <c r="V118" t="s">
        <v>29</v>
      </c>
    </row>
    <row r="119" spans="1:22" x14ac:dyDescent="0.2">
      <c r="A119" t="s">
        <v>106</v>
      </c>
      <c r="B119" t="s">
        <v>25</v>
      </c>
      <c r="C119">
        <v>100</v>
      </c>
      <c r="D119">
        <v>16</v>
      </c>
      <c r="E119">
        <v>6.83</v>
      </c>
      <c r="F119" t="s">
        <v>24</v>
      </c>
      <c r="G119" t="s">
        <v>24</v>
      </c>
      <c r="H119" t="s">
        <v>24</v>
      </c>
      <c r="I119">
        <v>40</v>
      </c>
      <c r="J119">
        <v>17.22</v>
      </c>
      <c r="K119">
        <v>13.03</v>
      </c>
      <c r="L119">
        <f t="shared" ref="L119:L130" si="46">84/100</f>
        <v>0.84</v>
      </c>
      <c r="M119">
        <f t="shared" ref="M119:M130" si="47">35/40</f>
        <v>0.875</v>
      </c>
      <c r="N119">
        <f t="shared" si="42"/>
        <v>0.85749999999999993</v>
      </c>
      <c r="O119">
        <v>52.65</v>
      </c>
      <c r="P119">
        <v>50.08</v>
      </c>
      <c r="Q119">
        <f t="shared" si="43"/>
        <v>51.364999999999995</v>
      </c>
      <c r="R119" t="s">
        <v>26</v>
      </c>
      <c r="S119" t="s">
        <v>23</v>
      </c>
      <c r="T119" t="s">
        <v>107</v>
      </c>
      <c r="U119" t="s">
        <v>23</v>
      </c>
      <c r="V119" t="s">
        <v>29</v>
      </c>
    </row>
    <row r="120" spans="1:22" x14ac:dyDescent="0.2">
      <c r="A120" t="s">
        <v>106</v>
      </c>
      <c r="B120" t="s">
        <v>25</v>
      </c>
      <c r="C120">
        <v>30</v>
      </c>
      <c r="D120">
        <v>18.93</v>
      </c>
      <c r="E120">
        <v>14.08</v>
      </c>
      <c r="F120">
        <v>40</v>
      </c>
      <c r="G120">
        <v>17.22</v>
      </c>
      <c r="H120">
        <v>13.03</v>
      </c>
      <c r="I120">
        <f>F120/3</f>
        <v>13.333333333333334</v>
      </c>
      <c r="J120">
        <v>17.22</v>
      </c>
      <c r="K120">
        <f>H120/(SQRT(3))</f>
        <v>7.5228740075408238</v>
      </c>
      <c r="L120">
        <f t="shared" si="46"/>
        <v>0.84</v>
      </c>
      <c r="M120">
        <f t="shared" si="47"/>
        <v>0.875</v>
      </c>
      <c r="N120">
        <f t="shared" si="42"/>
        <v>0.85749999999999993</v>
      </c>
      <c r="O120">
        <v>52.65</v>
      </c>
      <c r="P120">
        <v>50.08</v>
      </c>
      <c r="Q120">
        <f t="shared" si="43"/>
        <v>51.364999999999995</v>
      </c>
      <c r="R120" t="s">
        <v>26</v>
      </c>
      <c r="S120" t="s">
        <v>23</v>
      </c>
      <c r="T120" t="s">
        <v>107</v>
      </c>
      <c r="U120" t="s">
        <v>23</v>
      </c>
      <c r="V120" t="s">
        <v>29</v>
      </c>
    </row>
    <row r="121" spans="1:22" x14ac:dyDescent="0.2">
      <c r="A121" t="s">
        <v>106</v>
      </c>
      <c r="B121" t="s">
        <v>25</v>
      </c>
      <c r="C121">
        <v>49</v>
      </c>
      <c r="D121">
        <v>14.88</v>
      </c>
      <c r="E121">
        <v>8.86</v>
      </c>
      <c r="F121">
        <v>40</v>
      </c>
      <c r="G121">
        <v>17.22</v>
      </c>
      <c r="H121">
        <v>13.03</v>
      </c>
      <c r="I121">
        <f t="shared" ref="I121:I122" si="48">F121/3</f>
        <v>13.333333333333334</v>
      </c>
      <c r="J121">
        <v>17.22</v>
      </c>
      <c r="K121">
        <f>H121/(SQRT(3))</f>
        <v>7.5228740075408238</v>
      </c>
      <c r="L121">
        <f t="shared" si="46"/>
        <v>0.84</v>
      </c>
      <c r="M121">
        <f t="shared" si="47"/>
        <v>0.875</v>
      </c>
      <c r="N121">
        <f t="shared" si="42"/>
        <v>0.85749999999999993</v>
      </c>
      <c r="O121">
        <v>52.65</v>
      </c>
      <c r="P121">
        <v>50.08</v>
      </c>
      <c r="Q121">
        <f t="shared" si="43"/>
        <v>51.364999999999995</v>
      </c>
      <c r="R121" t="s">
        <v>26</v>
      </c>
      <c r="S121" t="s">
        <v>23</v>
      </c>
      <c r="T121" t="s">
        <v>107</v>
      </c>
      <c r="U121" t="s">
        <v>23</v>
      </c>
      <c r="V121" t="s">
        <v>29</v>
      </c>
    </row>
    <row r="122" spans="1:22" x14ac:dyDescent="0.2">
      <c r="A122" t="s">
        <v>106</v>
      </c>
      <c r="B122" t="s">
        <v>25</v>
      </c>
      <c r="C122">
        <v>21</v>
      </c>
      <c r="D122">
        <v>14.44</v>
      </c>
      <c r="E122">
        <v>9.5</v>
      </c>
      <c r="F122">
        <v>40</v>
      </c>
      <c r="G122">
        <v>17.22</v>
      </c>
      <c r="H122">
        <v>13.03</v>
      </c>
      <c r="I122">
        <f t="shared" si="48"/>
        <v>13.333333333333334</v>
      </c>
      <c r="J122">
        <v>17.22</v>
      </c>
      <c r="K122">
        <f>H122/(SQRT(3))</f>
        <v>7.5228740075408238</v>
      </c>
      <c r="L122">
        <f t="shared" si="46"/>
        <v>0.84</v>
      </c>
      <c r="M122">
        <f t="shared" si="47"/>
        <v>0.875</v>
      </c>
      <c r="N122">
        <f t="shared" si="42"/>
        <v>0.85749999999999993</v>
      </c>
      <c r="O122">
        <v>52.65</v>
      </c>
      <c r="P122">
        <v>50.08</v>
      </c>
      <c r="Q122">
        <f t="shared" si="43"/>
        <v>51.364999999999995</v>
      </c>
      <c r="R122" t="s">
        <v>26</v>
      </c>
      <c r="S122" t="s">
        <v>23</v>
      </c>
      <c r="T122" t="s">
        <v>107</v>
      </c>
      <c r="U122" t="s">
        <v>23</v>
      </c>
      <c r="V122" t="s">
        <v>29</v>
      </c>
    </row>
    <row r="123" spans="1:22" x14ac:dyDescent="0.2">
      <c r="A123" t="s">
        <v>106</v>
      </c>
      <c r="B123" t="s">
        <v>58</v>
      </c>
      <c r="C123">
        <v>100</v>
      </c>
      <c r="D123">
        <v>343.37</v>
      </c>
      <c r="E123">
        <v>163.80000000000001</v>
      </c>
      <c r="F123">
        <v>40</v>
      </c>
      <c r="G123">
        <v>316.52999999999997</v>
      </c>
      <c r="H123">
        <v>108.21</v>
      </c>
      <c r="I123">
        <v>40</v>
      </c>
      <c r="J123">
        <v>316.52999999999997</v>
      </c>
      <c r="K123">
        <v>108.21</v>
      </c>
      <c r="L123">
        <f t="shared" si="46"/>
        <v>0.84</v>
      </c>
      <c r="M123">
        <f t="shared" si="47"/>
        <v>0.875</v>
      </c>
      <c r="N123">
        <f t="shared" si="42"/>
        <v>0.85749999999999993</v>
      </c>
      <c r="O123">
        <v>52.65</v>
      </c>
      <c r="P123">
        <v>50.08</v>
      </c>
      <c r="Q123">
        <f t="shared" si="43"/>
        <v>51.364999999999995</v>
      </c>
      <c r="R123" t="s">
        <v>26</v>
      </c>
      <c r="S123" t="s">
        <v>23</v>
      </c>
      <c r="T123" t="s">
        <v>107</v>
      </c>
      <c r="U123" t="s">
        <v>23</v>
      </c>
      <c r="V123" t="s">
        <v>29</v>
      </c>
    </row>
    <row r="124" spans="1:22" x14ac:dyDescent="0.2">
      <c r="A124" t="s">
        <v>106</v>
      </c>
      <c r="B124" t="s">
        <v>58</v>
      </c>
      <c r="C124">
        <v>30</v>
      </c>
      <c r="D124">
        <v>371.02</v>
      </c>
      <c r="E124">
        <v>204.38</v>
      </c>
      <c r="F124">
        <v>40</v>
      </c>
      <c r="G124">
        <v>316.52999999999997</v>
      </c>
      <c r="H124">
        <v>108.21</v>
      </c>
      <c r="I124">
        <f>F124/3</f>
        <v>13.333333333333334</v>
      </c>
      <c r="J124">
        <v>316.52999999999997</v>
      </c>
      <c r="K124">
        <f>H124/(SQRT(3))</f>
        <v>62.475072629009404</v>
      </c>
      <c r="L124">
        <f t="shared" si="46"/>
        <v>0.84</v>
      </c>
      <c r="M124">
        <f t="shared" si="47"/>
        <v>0.875</v>
      </c>
      <c r="N124">
        <f t="shared" si="42"/>
        <v>0.85749999999999993</v>
      </c>
      <c r="O124">
        <v>52.65</v>
      </c>
      <c r="P124">
        <v>50.08</v>
      </c>
      <c r="Q124">
        <f t="shared" si="43"/>
        <v>51.364999999999995</v>
      </c>
      <c r="R124" t="s">
        <v>26</v>
      </c>
      <c r="S124" t="s">
        <v>23</v>
      </c>
      <c r="T124" t="s">
        <v>107</v>
      </c>
      <c r="U124" t="s">
        <v>23</v>
      </c>
      <c r="V124" t="s">
        <v>29</v>
      </c>
    </row>
    <row r="125" spans="1:22" x14ac:dyDescent="0.2">
      <c r="A125" t="s">
        <v>106</v>
      </c>
      <c r="B125" t="s">
        <v>58</v>
      </c>
      <c r="C125">
        <v>49</v>
      </c>
      <c r="D125">
        <v>341.67</v>
      </c>
      <c r="E125">
        <v>156.82</v>
      </c>
      <c r="F125">
        <v>40</v>
      </c>
      <c r="G125">
        <v>316.52999999999997</v>
      </c>
      <c r="H125">
        <v>108.21</v>
      </c>
      <c r="I125">
        <f t="shared" ref="I125:I126" si="49">F125/3</f>
        <v>13.333333333333334</v>
      </c>
      <c r="J125">
        <v>316.52999999999997</v>
      </c>
      <c r="K125">
        <f>H125/(SQRT(3))</f>
        <v>62.475072629009404</v>
      </c>
      <c r="L125">
        <f t="shared" si="46"/>
        <v>0.84</v>
      </c>
      <c r="M125">
        <f t="shared" si="47"/>
        <v>0.875</v>
      </c>
      <c r="N125">
        <f t="shared" si="42"/>
        <v>0.85749999999999993</v>
      </c>
      <c r="O125">
        <v>52.65</v>
      </c>
      <c r="P125">
        <v>50.08</v>
      </c>
      <c r="Q125">
        <f t="shared" si="43"/>
        <v>51.364999999999995</v>
      </c>
      <c r="R125" t="s">
        <v>26</v>
      </c>
      <c r="S125" t="s">
        <v>23</v>
      </c>
      <c r="T125" t="s">
        <v>107</v>
      </c>
      <c r="U125" t="s">
        <v>23</v>
      </c>
      <c r="V125" t="s">
        <v>29</v>
      </c>
    </row>
    <row r="126" spans="1:22" x14ac:dyDescent="0.2">
      <c r="A126" t="s">
        <v>106</v>
      </c>
      <c r="B126" t="s">
        <v>58</v>
      </c>
      <c r="C126">
        <v>21</v>
      </c>
      <c r="D126">
        <v>307.81</v>
      </c>
      <c r="E126">
        <v>103.61</v>
      </c>
      <c r="F126">
        <v>40</v>
      </c>
      <c r="G126">
        <v>316.52999999999997</v>
      </c>
      <c r="H126">
        <v>108.21</v>
      </c>
      <c r="I126">
        <f t="shared" si="49"/>
        <v>13.333333333333334</v>
      </c>
      <c r="J126">
        <v>316.52999999999997</v>
      </c>
      <c r="K126">
        <f>H126/(SQRT(3))</f>
        <v>62.475072629009404</v>
      </c>
      <c r="L126">
        <f t="shared" si="46"/>
        <v>0.84</v>
      </c>
      <c r="M126">
        <f t="shared" si="47"/>
        <v>0.875</v>
      </c>
      <c r="N126">
        <f t="shared" si="42"/>
        <v>0.85749999999999993</v>
      </c>
      <c r="O126">
        <v>52.65</v>
      </c>
      <c r="P126">
        <v>50.08</v>
      </c>
      <c r="Q126">
        <f t="shared" si="43"/>
        <v>51.364999999999995</v>
      </c>
      <c r="R126" t="s">
        <v>26</v>
      </c>
      <c r="S126" t="s">
        <v>23</v>
      </c>
      <c r="T126" t="s">
        <v>107</v>
      </c>
      <c r="U126" t="s">
        <v>23</v>
      </c>
      <c r="V126" t="s">
        <v>29</v>
      </c>
    </row>
    <row r="127" spans="1:22" x14ac:dyDescent="0.2">
      <c r="A127" t="s">
        <v>106</v>
      </c>
      <c r="B127" t="s">
        <v>63</v>
      </c>
      <c r="C127">
        <v>100</v>
      </c>
      <c r="D127">
        <v>8.58</v>
      </c>
      <c r="E127">
        <v>3.88</v>
      </c>
      <c r="F127">
        <v>40</v>
      </c>
      <c r="G127">
        <v>8.66</v>
      </c>
      <c r="H127">
        <v>3</v>
      </c>
      <c r="I127">
        <v>40</v>
      </c>
      <c r="J127">
        <v>8.66</v>
      </c>
      <c r="K127">
        <v>3</v>
      </c>
      <c r="L127">
        <f t="shared" si="46"/>
        <v>0.84</v>
      </c>
      <c r="M127">
        <f t="shared" si="47"/>
        <v>0.875</v>
      </c>
      <c r="N127">
        <f t="shared" si="42"/>
        <v>0.85749999999999993</v>
      </c>
      <c r="O127">
        <v>52.65</v>
      </c>
      <c r="P127">
        <v>50.08</v>
      </c>
      <c r="Q127">
        <f t="shared" si="43"/>
        <v>51.364999999999995</v>
      </c>
      <c r="R127" t="s">
        <v>26</v>
      </c>
      <c r="S127" t="s">
        <v>23</v>
      </c>
      <c r="T127" t="s">
        <v>107</v>
      </c>
      <c r="U127" t="s">
        <v>23</v>
      </c>
      <c r="V127" t="s">
        <v>29</v>
      </c>
    </row>
    <row r="128" spans="1:22" x14ac:dyDescent="0.2">
      <c r="A128" t="s">
        <v>106</v>
      </c>
      <c r="B128" t="s">
        <v>63</v>
      </c>
      <c r="C128">
        <v>30</v>
      </c>
      <c r="D128">
        <v>8.83</v>
      </c>
      <c r="E128">
        <v>3.86</v>
      </c>
      <c r="F128">
        <v>40</v>
      </c>
      <c r="G128">
        <v>8.66</v>
      </c>
      <c r="H128">
        <v>3</v>
      </c>
      <c r="I128">
        <f>F128/3</f>
        <v>13.333333333333334</v>
      </c>
      <c r="J128">
        <v>8.66</v>
      </c>
      <c r="K128">
        <f>H128/(SQRT(3))</f>
        <v>1.7320508075688774</v>
      </c>
      <c r="L128">
        <f t="shared" si="46"/>
        <v>0.84</v>
      </c>
      <c r="M128">
        <f t="shared" si="47"/>
        <v>0.875</v>
      </c>
      <c r="N128">
        <f t="shared" si="42"/>
        <v>0.85749999999999993</v>
      </c>
      <c r="O128">
        <v>52.65</v>
      </c>
      <c r="P128">
        <v>50.08</v>
      </c>
      <c r="Q128">
        <f t="shared" si="43"/>
        <v>51.364999999999995</v>
      </c>
      <c r="R128" t="s">
        <v>26</v>
      </c>
      <c r="S128" t="s">
        <v>23</v>
      </c>
      <c r="T128" t="s">
        <v>107</v>
      </c>
      <c r="U128" t="s">
        <v>23</v>
      </c>
      <c r="V128" t="s">
        <v>29</v>
      </c>
    </row>
    <row r="129" spans="1:22" x14ac:dyDescent="0.2">
      <c r="A129" t="s">
        <v>106</v>
      </c>
      <c r="B129" t="s">
        <v>63</v>
      </c>
      <c r="C129">
        <v>49</v>
      </c>
      <c r="D129">
        <v>8.08</v>
      </c>
      <c r="E129">
        <v>4.0199999999999996</v>
      </c>
      <c r="F129">
        <v>40</v>
      </c>
      <c r="G129">
        <v>8.66</v>
      </c>
      <c r="H129">
        <v>3</v>
      </c>
      <c r="I129">
        <f t="shared" ref="I129:I130" si="50">F129/3</f>
        <v>13.333333333333334</v>
      </c>
      <c r="J129">
        <v>8.66</v>
      </c>
      <c r="K129">
        <f>H129/(SQRT(3))</f>
        <v>1.7320508075688774</v>
      </c>
      <c r="L129">
        <f t="shared" si="46"/>
        <v>0.84</v>
      </c>
      <c r="M129">
        <f t="shared" si="47"/>
        <v>0.875</v>
      </c>
      <c r="N129">
        <f t="shared" si="42"/>
        <v>0.85749999999999993</v>
      </c>
      <c r="O129">
        <v>52.65</v>
      </c>
      <c r="P129">
        <v>50.08</v>
      </c>
      <c r="Q129">
        <f t="shared" si="43"/>
        <v>51.364999999999995</v>
      </c>
      <c r="R129" t="s">
        <v>26</v>
      </c>
      <c r="S129" t="s">
        <v>23</v>
      </c>
      <c r="T129" t="s">
        <v>107</v>
      </c>
      <c r="U129" t="s">
        <v>23</v>
      </c>
      <c r="V129" t="s">
        <v>29</v>
      </c>
    </row>
    <row r="130" spans="1:22" x14ac:dyDescent="0.2">
      <c r="A130" t="s">
        <v>106</v>
      </c>
      <c r="B130" t="s">
        <v>63</v>
      </c>
      <c r="C130">
        <v>21</v>
      </c>
      <c r="D130">
        <v>9.3699999999999992</v>
      </c>
      <c r="E130">
        <v>3.57</v>
      </c>
      <c r="F130">
        <v>40</v>
      </c>
      <c r="G130">
        <v>8.66</v>
      </c>
      <c r="H130">
        <v>3</v>
      </c>
      <c r="I130">
        <f t="shared" si="50"/>
        <v>13.333333333333334</v>
      </c>
      <c r="J130">
        <v>8.66</v>
      </c>
      <c r="K130">
        <f>H130/(SQRT(3))</f>
        <v>1.7320508075688774</v>
      </c>
      <c r="L130">
        <f t="shared" si="46"/>
        <v>0.84</v>
      </c>
      <c r="M130">
        <f t="shared" si="47"/>
        <v>0.875</v>
      </c>
      <c r="N130">
        <f t="shared" si="42"/>
        <v>0.85749999999999993</v>
      </c>
      <c r="O130">
        <v>52.65</v>
      </c>
      <c r="P130">
        <v>50.08</v>
      </c>
      <c r="Q130">
        <f t="shared" si="43"/>
        <v>51.364999999999995</v>
      </c>
      <c r="R130" t="s">
        <v>26</v>
      </c>
      <c r="S130" t="s">
        <v>23</v>
      </c>
      <c r="T130" t="s">
        <v>107</v>
      </c>
      <c r="U130" t="s">
        <v>23</v>
      </c>
      <c r="V130" t="s">
        <v>29</v>
      </c>
    </row>
    <row r="131" spans="1:22" x14ac:dyDescent="0.2">
      <c r="A131" t="s">
        <v>108</v>
      </c>
      <c r="B131" t="s">
        <v>45</v>
      </c>
      <c r="C131">
        <v>55</v>
      </c>
      <c r="D131">
        <v>59478.438000000002</v>
      </c>
      <c r="E131">
        <v>15066.437037037034</v>
      </c>
      <c r="F131" t="s">
        <v>24</v>
      </c>
      <c r="G131" t="s">
        <v>24</v>
      </c>
      <c r="H131" t="s">
        <v>24</v>
      </c>
      <c r="I131">
        <v>21</v>
      </c>
      <c r="J131">
        <v>45567.218000000001</v>
      </c>
      <c r="K131">
        <v>11553.807407407407</v>
      </c>
      <c r="L131">
        <f>37/55</f>
        <v>0.67272727272727273</v>
      </c>
      <c r="M131">
        <f>14/21</f>
        <v>0.66666666666666663</v>
      </c>
      <c r="N131">
        <f t="shared" si="42"/>
        <v>0.66969696969696968</v>
      </c>
      <c r="O131">
        <v>64</v>
      </c>
      <c r="P131">
        <v>63</v>
      </c>
      <c r="Q131">
        <f t="shared" si="43"/>
        <v>63.5</v>
      </c>
      <c r="R131" t="s">
        <v>26</v>
      </c>
      <c r="S131">
        <f>36/12</f>
        <v>3</v>
      </c>
      <c r="T131" t="s">
        <v>109</v>
      </c>
      <c r="U131" t="s">
        <v>85</v>
      </c>
      <c r="V131" t="s">
        <v>29</v>
      </c>
    </row>
    <row r="132" spans="1:22" x14ac:dyDescent="0.2">
      <c r="A132" t="s">
        <v>108</v>
      </c>
      <c r="B132" t="s">
        <v>31</v>
      </c>
      <c r="C132">
        <v>55</v>
      </c>
      <c r="D132">
        <v>160948.13</v>
      </c>
      <c r="E132">
        <v>74607</v>
      </c>
      <c r="F132" t="s">
        <v>24</v>
      </c>
      <c r="G132" t="s">
        <v>24</v>
      </c>
      <c r="H132" t="s">
        <v>24</v>
      </c>
      <c r="I132">
        <v>21</v>
      </c>
      <c r="J132">
        <v>107732.10800000001</v>
      </c>
      <c r="K132">
        <v>53777.807407407396</v>
      </c>
      <c r="L132">
        <f>37/55</f>
        <v>0.67272727272727273</v>
      </c>
      <c r="M132">
        <f>14/21</f>
        <v>0.66666666666666663</v>
      </c>
      <c r="N132">
        <f t="shared" si="42"/>
        <v>0.66969696969696968</v>
      </c>
      <c r="O132">
        <v>64</v>
      </c>
      <c r="P132">
        <v>63</v>
      </c>
      <c r="Q132">
        <f t="shared" si="43"/>
        <v>63.5</v>
      </c>
      <c r="R132" t="s">
        <v>26</v>
      </c>
      <c r="S132">
        <f>36/12</f>
        <v>3</v>
      </c>
      <c r="T132" t="s">
        <v>109</v>
      </c>
      <c r="U132" t="s">
        <v>85</v>
      </c>
      <c r="V132" t="s">
        <v>29</v>
      </c>
    </row>
    <row r="133" spans="1:22" x14ac:dyDescent="0.2">
      <c r="A133" t="s">
        <v>108</v>
      </c>
      <c r="B133" t="s">
        <v>94</v>
      </c>
      <c r="C133">
        <v>55</v>
      </c>
      <c r="D133">
        <v>6.2E-2</v>
      </c>
      <c r="E133">
        <v>4.4444444444444439E-2</v>
      </c>
      <c r="F133" t="s">
        <v>24</v>
      </c>
      <c r="G133" t="s">
        <v>24</v>
      </c>
      <c r="H133" t="s">
        <v>24</v>
      </c>
      <c r="I133">
        <v>21</v>
      </c>
      <c r="J133">
        <v>2.0000000000000004E-2</v>
      </c>
      <c r="K133">
        <v>3.7037037037037035E-2</v>
      </c>
      <c r="L133">
        <f t="shared" ref="L133:L150" si="51">37/55</f>
        <v>0.67272727272727273</v>
      </c>
      <c r="M133">
        <f t="shared" ref="M133:M150" si="52">14/21</f>
        <v>0.66666666666666663</v>
      </c>
      <c r="N133">
        <f t="shared" si="42"/>
        <v>0.66969696969696968</v>
      </c>
      <c r="O133">
        <v>64</v>
      </c>
      <c r="P133">
        <v>63</v>
      </c>
      <c r="Q133">
        <f t="shared" si="43"/>
        <v>63.5</v>
      </c>
      <c r="R133" t="s">
        <v>26</v>
      </c>
      <c r="S133">
        <f t="shared" ref="S133:S150" si="53">36/12</f>
        <v>3</v>
      </c>
      <c r="T133" t="s">
        <v>109</v>
      </c>
      <c r="U133" t="s">
        <v>85</v>
      </c>
      <c r="V133" t="s">
        <v>29</v>
      </c>
    </row>
    <row r="134" spans="1:22" x14ac:dyDescent="0.2">
      <c r="A134" t="s">
        <v>108</v>
      </c>
      <c r="B134" t="s">
        <v>110</v>
      </c>
      <c r="C134">
        <v>55</v>
      </c>
      <c r="D134">
        <v>265.60200000000003</v>
      </c>
      <c r="E134">
        <v>117.67407407407407</v>
      </c>
      <c r="F134" t="s">
        <v>24</v>
      </c>
      <c r="G134" t="s">
        <v>24</v>
      </c>
      <c r="H134" t="s">
        <v>24</v>
      </c>
      <c r="I134">
        <v>21</v>
      </c>
      <c r="J134">
        <v>212.86600000000001</v>
      </c>
      <c r="K134">
        <v>84.614814814814807</v>
      </c>
      <c r="L134">
        <f t="shared" si="51"/>
        <v>0.67272727272727273</v>
      </c>
      <c r="M134">
        <f t="shared" si="52"/>
        <v>0.66666666666666663</v>
      </c>
      <c r="N134">
        <f t="shared" si="42"/>
        <v>0.66969696969696968</v>
      </c>
      <c r="O134">
        <v>64</v>
      </c>
      <c r="P134">
        <v>63</v>
      </c>
      <c r="Q134">
        <f t="shared" si="43"/>
        <v>63.5</v>
      </c>
      <c r="R134" t="s">
        <v>26</v>
      </c>
      <c r="S134">
        <f t="shared" si="53"/>
        <v>3</v>
      </c>
      <c r="T134" t="s">
        <v>109</v>
      </c>
      <c r="U134" t="s">
        <v>85</v>
      </c>
      <c r="V134" t="s">
        <v>29</v>
      </c>
    </row>
    <row r="135" spans="1:22" x14ac:dyDescent="0.2">
      <c r="A135" t="s">
        <v>108</v>
      </c>
      <c r="B135" t="s">
        <v>88</v>
      </c>
      <c r="C135">
        <v>55</v>
      </c>
      <c r="D135">
        <v>313.38400000000001</v>
      </c>
      <c r="E135">
        <v>90.792592592592584</v>
      </c>
      <c r="F135" t="s">
        <v>24</v>
      </c>
      <c r="G135" t="s">
        <v>24</v>
      </c>
      <c r="H135" t="s">
        <v>24</v>
      </c>
      <c r="I135">
        <v>21</v>
      </c>
      <c r="J135">
        <v>279.654</v>
      </c>
      <c r="K135">
        <v>61.088888888888881</v>
      </c>
      <c r="L135">
        <f t="shared" si="51"/>
        <v>0.67272727272727273</v>
      </c>
      <c r="M135">
        <f t="shared" si="52"/>
        <v>0.66666666666666663</v>
      </c>
      <c r="N135">
        <f t="shared" si="42"/>
        <v>0.66969696969696968</v>
      </c>
      <c r="O135">
        <v>64</v>
      </c>
      <c r="P135">
        <v>63</v>
      </c>
      <c r="Q135">
        <f t="shared" si="43"/>
        <v>63.5</v>
      </c>
      <c r="R135" t="s">
        <v>26</v>
      </c>
      <c r="S135">
        <f t="shared" si="53"/>
        <v>3</v>
      </c>
      <c r="T135" t="s">
        <v>109</v>
      </c>
      <c r="U135" t="s">
        <v>85</v>
      </c>
      <c r="V135" t="s">
        <v>29</v>
      </c>
    </row>
    <row r="136" spans="1:22" x14ac:dyDescent="0.2">
      <c r="A136" t="s">
        <v>108</v>
      </c>
      <c r="B136" t="s">
        <v>82</v>
      </c>
      <c r="C136">
        <v>55</v>
      </c>
      <c r="D136">
        <v>0.19600000000000001</v>
      </c>
      <c r="E136">
        <v>9.6296296296296297E-2</v>
      </c>
      <c r="F136" t="s">
        <v>24</v>
      </c>
      <c r="G136" t="s">
        <v>24</v>
      </c>
      <c r="H136" t="s">
        <v>24</v>
      </c>
      <c r="I136">
        <v>21</v>
      </c>
      <c r="J136">
        <v>0.23200000000000001</v>
      </c>
      <c r="K136">
        <v>0.11851851851851851</v>
      </c>
      <c r="L136">
        <f t="shared" si="51"/>
        <v>0.67272727272727273</v>
      </c>
      <c r="M136">
        <f t="shared" si="52"/>
        <v>0.66666666666666663</v>
      </c>
      <c r="N136">
        <f t="shared" si="42"/>
        <v>0.66969696969696968</v>
      </c>
      <c r="O136">
        <v>64</v>
      </c>
      <c r="P136">
        <v>63</v>
      </c>
      <c r="Q136">
        <f t="shared" si="43"/>
        <v>63.5</v>
      </c>
      <c r="R136" t="s">
        <v>26</v>
      </c>
      <c r="S136">
        <f t="shared" si="53"/>
        <v>3</v>
      </c>
      <c r="T136" t="s">
        <v>109</v>
      </c>
      <c r="U136" t="s">
        <v>85</v>
      </c>
      <c r="V136" t="s">
        <v>29</v>
      </c>
    </row>
    <row r="137" spans="1:22" x14ac:dyDescent="0.2">
      <c r="A137" t="s">
        <v>108</v>
      </c>
      <c r="B137" t="s">
        <v>89</v>
      </c>
      <c r="C137">
        <v>55</v>
      </c>
      <c r="D137">
        <v>10.055999999999999</v>
      </c>
      <c r="E137">
        <v>3.8</v>
      </c>
      <c r="F137" t="s">
        <v>24</v>
      </c>
      <c r="G137" t="s">
        <v>24</v>
      </c>
      <c r="H137" t="s">
        <v>24</v>
      </c>
      <c r="I137">
        <v>21</v>
      </c>
      <c r="J137">
        <v>8.7279999999999998</v>
      </c>
      <c r="K137">
        <v>3.0666666666666664</v>
      </c>
      <c r="L137">
        <f t="shared" si="51"/>
        <v>0.67272727272727273</v>
      </c>
      <c r="M137">
        <f t="shared" si="52"/>
        <v>0.66666666666666663</v>
      </c>
      <c r="N137">
        <f t="shared" si="42"/>
        <v>0.66969696969696968</v>
      </c>
      <c r="O137">
        <v>64</v>
      </c>
      <c r="P137">
        <v>63</v>
      </c>
      <c r="Q137">
        <f t="shared" si="43"/>
        <v>63.5</v>
      </c>
      <c r="R137" t="s">
        <v>26</v>
      </c>
      <c r="S137">
        <f t="shared" si="53"/>
        <v>3</v>
      </c>
      <c r="T137" t="s">
        <v>109</v>
      </c>
      <c r="U137" t="s">
        <v>85</v>
      </c>
      <c r="V137" t="s">
        <v>29</v>
      </c>
    </row>
    <row r="138" spans="1:22" x14ac:dyDescent="0.2">
      <c r="A138" t="s">
        <v>108</v>
      </c>
      <c r="B138" t="s">
        <v>34</v>
      </c>
      <c r="C138">
        <v>55</v>
      </c>
      <c r="D138">
        <v>0.78400000000000003</v>
      </c>
      <c r="E138">
        <v>0.4592592592592592</v>
      </c>
      <c r="F138" t="s">
        <v>24</v>
      </c>
      <c r="G138" t="s">
        <v>24</v>
      </c>
      <c r="H138" t="s">
        <v>24</v>
      </c>
      <c r="I138">
        <v>21</v>
      </c>
      <c r="J138">
        <v>0.8620000000000001</v>
      </c>
      <c r="K138">
        <v>0.2296296296296296</v>
      </c>
      <c r="L138">
        <f t="shared" si="51"/>
        <v>0.67272727272727273</v>
      </c>
      <c r="M138">
        <f t="shared" si="52"/>
        <v>0.66666666666666663</v>
      </c>
      <c r="N138">
        <f t="shared" si="42"/>
        <v>0.66969696969696968</v>
      </c>
      <c r="O138">
        <v>64</v>
      </c>
      <c r="P138">
        <v>63</v>
      </c>
      <c r="Q138">
        <f t="shared" si="43"/>
        <v>63.5</v>
      </c>
      <c r="R138" t="s">
        <v>26</v>
      </c>
      <c r="S138">
        <f t="shared" si="53"/>
        <v>3</v>
      </c>
      <c r="T138" t="s">
        <v>109</v>
      </c>
      <c r="U138" t="s">
        <v>85</v>
      </c>
      <c r="V138" t="s">
        <v>29</v>
      </c>
    </row>
    <row r="139" spans="1:22" x14ac:dyDescent="0.2">
      <c r="A139" t="s">
        <v>108</v>
      </c>
      <c r="B139" t="s">
        <v>97</v>
      </c>
      <c r="C139">
        <v>55</v>
      </c>
      <c r="D139">
        <v>0.28400000000000003</v>
      </c>
      <c r="E139">
        <v>0.2</v>
      </c>
      <c r="F139" t="s">
        <v>24</v>
      </c>
      <c r="G139" t="s">
        <v>24</v>
      </c>
      <c r="H139" t="s">
        <v>24</v>
      </c>
      <c r="I139">
        <v>21</v>
      </c>
      <c r="J139">
        <v>0.35599999999999998</v>
      </c>
      <c r="K139">
        <v>0.17037037037037037</v>
      </c>
      <c r="L139">
        <f t="shared" si="51"/>
        <v>0.67272727272727273</v>
      </c>
      <c r="M139">
        <f t="shared" si="52"/>
        <v>0.66666666666666663</v>
      </c>
      <c r="N139">
        <f t="shared" si="42"/>
        <v>0.66969696969696968</v>
      </c>
      <c r="O139">
        <v>64</v>
      </c>
      <c r="P139">
        <v>63</v>
      </c>
      <c r="Q139">
        <f t="shared" si="43"/>
        <v>63.5</v>
      </c>
      <c r="R139" t="s">
        <v>26</v>
      </c>
      <c r="S139">
        <f t="shared" si="53"/>
        <v>3</v>
      </c>
      <c r="T139" t="s">
        <v>109</v>
      </c>
      <c r="U139" t="s">
        <v>85</v>
      </c>
      <c r="V139" t="s">
        <v>29</v>
      </c>
    </row>
    <row r="140" spans="1:22" x14ac:dyDescent="0.2">
      <c r="A140" t="s">
        <v>108</v>
      </c>
      <c r="B140" t="s">
        <v>92</v>
      </c>
      <c r="C140">
        <v>55</v>
      </c>
      <c r="D140">
        <v>0</v>
      </c>
      <c r="E140">
        <v>0</v>
      </c>
      <c r="F140" t="s">
        <v>24</v>
      </c>
      <c r="G140" t="s">
        <v>24</v>
      </c>
      <c r="H140" t="s">
        <v>24</v>
      </c>
      <c r="I140">
        <v>21</v>
      </c>
      <c r="J140">
        <v>0</v>
      </c>
      <c r="K140">
        <v>0</v>
      </c>
      <c r="L140">
        <f t="shared" si="51"/>
        <v>0.67272727272727273</v>
      </c>
      <c r="M140">
        <f t="shared" si="52"/>
        <v>0.66666666666666663</v>
      </c>
      <c r="N140">
        <f t="shared" si="42"/>
        <v>0.66969696969696968</v>
      </c>
      <c r="O140">
        <v>64</v>
      </c>
      <c r="P140">
        <v>63</v>
      </c>
      <c r="Q140">
        <f t="shared" si="43"/>
        <v>63.5</v>
      </c>
      <c r="R140" t="s">
        <v>26</v>
      </c>
      <c r="S140">
        <f t="shared" si="53"/>
        <v>3</v>
      </c>
      <c r="T140" t="s">
        <v>109</v>
      </c>
      <c r="U140" t="s">
        <v>85</v>
      </c>
      <c r="V140" t="s">
        <v>29</v>
      </c>
    </row>
    <row r="141" spans="1:22" x14ac:dyDescent="0.2">
      <c r="A141" t="s">
        <v>108</v>
      </c>
      <c r="B141" t="s">
        <v>111</v>
      </c>
      <c r="C141">
        <v>55</v>
      </c>
      <c r="D141">
        <v>7.7840000000000007</v>
      </c>
      <c r="E141">
        <v>4.1999999999999993</v>
      </c>
      <c r="F141" t="s">
        <v>24</v>
      </c>
      <c r="G141" t="s">
        <v>24</v>
      </c>
      <c r="H141" t="s">
        <v>24</v>
      </c>
      <c r="I141">
        <v>21</v>
      </c>
      <c r="J141">
        <v>8.1880000000000006</v>
      </c>
      <c r="K141">
        <v>5.5481481481481483</v>
      </c>
      <c r="L141">
        <f t="shared" si="51"/>
        <v>0.67272727272727273</v>
      </c>
      <c r="M141">
        <f t="shared" si="52"/>
        <v>0.66666666666666663</v>
      </c>
      <c r="N141">
        <f t="shared" si="42"/>
        <v>0.66969696969696968</v>
      </c>
      <c r="O141">
        <v>64</v>
      </c>
      <c r="P141">
        <v>63</v>
      </c>
      <c r="Q141">
        <f t="shared" si="43"/>
        <v>63.5</v>
      </c>
      <c r="R141" t="s">
        <v>26</v>
      </c>
      <c r="S141">
        <f t="shared" si="53"/>
        <v>3</v>
      </c>
      <c r="T141" t="s">
        <v>109</v>
      </c>
      <c r="U141" t="s">
        <v>85</v>
      </c>
      <c r="V141" t="s">
        <v>29</v>
      </c>
    </row>
    <row r="142" spans="1:22" x14ac:dyDescent="0.2">
      <c r="A142" t="s">
        <v>108</v>
      </c>
      <c r="B142" t="s">
        <v>112</v>
      </c>
      <c r="C142">
        <v>55</v>
      </c>
      <c r="D142">
        <v>0</v>
      </c>
      <c r="E142">
        <v>0</v>
      </c>
      <c r="F142" t="s">
        <v>24</v>
      </c>
      <c r="G142" t="s">
        <v>24</v>
      </c>
      <c r="H142" t="s">
        <v>24</v>
      </c>
      <c r="I142">
        <v>21</v>
      </c>
      <c r="J142">
        <v>0</v>
      </c>
      <c r="K142">
        <v>0</v>
      </c>
      <c r="L142">
        <f t="shared" si="51"/>
        <v>0.67272727272727273</v>
      </c>
      <c r="M142">
        <f t="shared" si="52"/>
        <v>0.66666666666666663</v>
      </c>
      <c r="N142">
        <f t="shared" si="42"/>
        <v>0.66969696969696968</v>
      </c>
      <c r="O142">
        <v>64</v>
      </c>
      <c r="P142">
        <v>63</v>
      </c>
      <c r="Q142">
        <f t="shared" si="43"/>
        <v>63.5</v>
      </c>
      <c r="R142" t="s">
        <v>26</v>
      </c>
      <c r="S142">
        <f t="shared" si="53"/>
        <v>3</v>
      </c>
      <c r="T142" t="s">
        <v>109</v>
      </c>
      <c r="U142" t="s">
        <v>85</v>
      </c>
      <c r="V142" t="s">
        <v>29</v>
      </c>
    </row>
    <row r="143" spans="1:22" x14ac:dyDescent="0.2">
      <c r="A143" t="s">
        <v>108</v>
      </c>
      <c r="B143" t="s">
        <v>44</v>
      </c>
      <c r="C143">
        <v>55</v>
      </c>
      <c r="D143">
        <v>0.104</v>
      </c>
      <c r="E143">
        <v>5.185185185185185E-2</v>
      </c>
      <c r="F143" t="s">
        <v>24</v>
      </c>
      <c r="G143" t="s">
        <v>24</v>
      </c>
      <c r="H143" t="s">
        <v>24</v>
      </c>
      <c r="I143">
        <v>21</v>
      </c>
      <c r="J143">
        <v>9.4E-2</v>
      </c>
      <c r="K143">
        <v>5.185185185185185E-2</v>
      </c>
      <c r="L143">
        <f t="shared" si="51"/>
        <v>0.67272727272727273</v>
      </c>
      <c r="M143">
        <f t="shared" si="52"/>
        <v>0.66666666666666663</v>
      </c>
      <c r="N143">
        <f t="shared" si="42"/>
        <v>0.66969696969696968</v>
      </c>
      <c r="O143">
        <v>64</v>
      </c>
      <c r="P143">
        <v>63</v>
      </c>
      <c r="Q143">
        <f t="shared" si="43"/>
        <v>63.5</v>
      </c>
      <c r="R143" t="s">
        <v>26</v>
      </c>
      <c r="S143">
        <f t="shared" si="53"/>
        <v>3</v>
      </c>
      <c r="T143" t="s">
        <v>109</v>
      </c>
      <c r="U143" t="s">
        <v>85</v>
      </c>
      <c r="V143" t="s">
        <v>29</v>
      </c>
    </row>
    <row r="144" spans="1:22" x14ac:dyDescent="0.2">
      <c r="A144" t="s">
        <v>108</v>
      </c>
      <c r="B144" t="s">
        <v>46</v>
      </c>
      <c r="C144">
        <v>55</v>
      </c>
      <c r="D144">
        <v>0.56999999999999995</v>
      </c>
      <c r="E144">
        <v>0.25925925925925924</v>
      </c>
      <c r="F144" t="s">
        <v>24</v>
      </c>
      <c r="G144" t="s">
        <v>24</v>
      </c>
      <c r="H144" t="s">
        <v>24</v>
      </c>
      <c r="I144">
        <v>21</v>
      </c>
      <c r="J144">
        <v>0.6180000000000001</v>
      </c>
      <c r="K144">
        <v>0.21481481481481479</v>
      </c>
      <c r="L144">
        <f t="shared" si="51"/>
        <v>0.67272727272727273</v>
      </c>
      <c r="M144">
        <f t="shared" si="52"/>
        <v>0.66666666666666663</v>
      </c>
      <c r="N144">
        <f t="shared" si="42"/>
        <v>0.66969696969696968</v>
      </c>
      <c r="O144">
        <v>64</v>
      </c>
      <c r="P144">
        <v>63</v>
      </c>
      <c r="Q144">
        <f t="shared" si="43"/>
        <v>63.5</v>
      </c>
      <c r="R144" t="s">
        <v>26</v>
      </c>
      <c r="S144">
        <f t="shared" si="53"/>
        <v>3</v>
      </c>
      <c r="T144" t="s">
        <v>109</v>
      </c>
      <c r="U144" t="s">
        <v>85</v>
      </c>
      <c r="V144" t="s">
        <v>29</v>
      </c>
    </row>
    <row r="145" spans="1:22" x14ac:dyDescent="0.2">
      <c r="A145" t="s">
        <v>108</v>
      </c>
      <c r="B145" t="s">
        <v>113</v>
      </c>
      <c r="C145">
        <v>55</v>
      </c>
      <c r="D145">
        <v>1746.9560000000001</v>
      </c>
      <c r="E145">
        <v>791.5407407407406</v>
      </c>
      <c r="F145" t="s">
        <v>24</v>
      </c>
      <c r="G145" t="s">
        <v>24</v>
      </c>
      <c r="H145" t="s">
        <v>24</v>
      </c>
      <c r="I145">
        <v>21</v>
      </c>
      <c r="J145">
        <v>1858.454</v>
      </c>
      <c r="K145">
        <v>1086.8666666666666</v>
      </c>
      <c r="L145">
        <f t="shared" si="51"/>
        <v>0.67272727272727273</v>
      </c>
      <c r="M145">
        <f t="shared" si="52"/>
        <v>0.66666666666666663</v>
      </c>
      <c r="N145">
        <f t="shared" si="42"/>
        <v>0.66969696969696968</v>
      </c>
      <c r="O145">
        <v>64</v>
      </c>
      <c r="P145">
        <v>63</v>
      </c>
      <c r="Q145">
        <f t="shared" si="43"/>
        <v>63.5</v>
      </c>
      <c r="R145" t="s">
        <v>26</v>
      </c>
      <c r="S145">
        <f t="shared" si="53"/>
        <v>3</v>
      </c>
      <c r="T145" t="s">
        <v>109</v>
      </c>
      <c r="U145" t="s">
        <v>85</v>
      </c>
      <c r="V145" t="s">
        <v>29</v>
      </c>
    </row>
    <row r="146" spans="1:22" x14ac:dyDescent="0.2">
      <c r="A146" t="s">
        <v>108</v>
      </c>
      <c r="B146" t="s">
        <v>96</v>
      </c>
      <c r="C146">
        <v>55</v>
      </c>
      <c r="D146">
        <v>6.9999999999999993E-2</v>
      </c>
      <c r="E146">
        <v>0.25925925925925924</v>
      </c>
      <c r="F146" t="s">
        <v>24</v>
      </c>
      <c r="G146" t="s">
        <v>24</v>
      </c>
      <c r="H146" t="s">
        <v>24</v>
      </c>
      <c r="I146">
        <v>21</v>
      </c>
      <c r="J146">
        <v>0.17199999999999999</v>
      </c>
      <c r="K146">
        <v>0.2296296296296296</v>
      </c>
      <c r="L146">
        <f t="shared" si="51"/>
        <v>0.67272727272727273</v>
      </c>
      <c r="M146">
        <f t="shared" si="52"/>
        <v>0.66666666666666663</v>
      </c>
      <c r="N146">
        <f t="shared" si="42"/>
        <v>0.66969696969696968</v>
      </c>
      <c r="O146">
        <v>64</v>
      </c>
      <c r="P146">
        <v>63</v>
      </c>
      <c r="Q146">
        <f t="shared" si="43"/>
        <v>63.5</v>
      </c>
      <c r="R146" t="s">
        <v>26</v>
      </c>
      <c r="S146">
        <f t="shared" si="53"/>
        <v>3</v>
      </c>
      <c r="T146" t="s">
        <v>109</v>
      </c>
      <c r="U146" t="s">
        <v>85</v>
      </c>
      <c r="V146" t="s">
        <v>29</v>
      </c>
    </row>
    <row r="147" spans="1:22" x14ac:dyDescent="0.2">
      <c r="A147" t="s">
        <v>108</v>
      </c>
      <c r="B147" t="s">
        <v>114</v>
      </c>
      <c r="C147">
        <v>55</v>
      </c>
      <c r="D147">
        <v>6569.2639999999992</v>
      </c>
      <c r="E147">
        <v>1555.3481481481479</v>
      </c>
      <c r="F147" t="s">
        <v>24</v>
      </c>
      <c r="G147" t="s">
        <v>24</v>
      </c>
      <c r="H147" t="s">
        <v>24</v>
      </c>
      <c r="I147">
        <v>21</v>
      </c>
      <c r="J147">
        <v>6328.3119999999999</v>
      </c>
      <c r="K147">
        <v>987.59999999999991</v>
      </c>
      <c r="L147">
        <f t="shared" si="51"/>
        <v>0.67272727272727273</v>
      </c>
      <c r="M147">
        <f t="shared" si="52"/>
        <v>0.66666666666666663</v>
      </c>
      <c r="N147">
        <f t="shared" si="42"/>
        <v>0.66969696969696968</v>
      </c>
      <c r="O147">
        <v>64</v>
      </c>
      <c r="P147">
        <v>63</v>
      </c>
      <c r="Q147">
        <f t="shared" si="43"/>
        <v>63.5</v>
      </c>
      <c r="R147" t="s">
        <v>26</v>
      </c>
      <c r="S147">
        <f t="shared" si="53"/>
        <v>3</v>
      </c>
      <c r="T147" t="s">
        <v>109</v>
      </c>
      <c r="U147" t="s">
        <v>85</v>
      </c>
      <c r="V147" t="s">
        <v>29</v>
      </c>
    </row>
    <row r="148" spans="1:22" x14ac:dyDescent="0.2">
      <c r="A148" t="s">
        <v>108</v>
      </c>
      <c r="B148" t="s">
        <v>47</v>
      </c>
      <c r="C148">
        <v>55</v>
      </c>
      <c r="D148">
        <v>1.798</v>
      </c>
      <c r="E148">
        <v>1.141</v>
      </c>
      <c r="F148" t="s">
        <v>24</v>
      </c>
      <c r="G148" t="s">
        <v>24</v>
      </c>
      <c r="H148" t="s">
        <v>24</v>
      </c>
      <c r="I148">
        <v>21</v>
      </c>
      <c r="J148">
        <v>1.81</v>
      </c>
      <c r="K148">
        <v>2</v>
      </c>
      <c r="L148">
        <f t="shared" si="51"/>
        <v>0.67272727272727273</v>
      </c>
      <c r="M148">
        <f t="shared" si="52"/>
        <v>0.66666666666666663</v>
      </c>
      <c r="N148">
        <f t="shared" si="42"/>
        <v>0.66969696969696968</v>
      </c>
      <c r="O148">
        <v>64</v>
      </c>
      <c r="P148">
        <v>63</v>
      </c>
      <c r="Q148">
        <f t="shared" si="43"/>
        <v>63.5</v>
      </c>
      <c r="R148" t="s">
        <v>26</v>
      </c>
      <c r="S148">
        <f t="shared" si="53"/>
        <v>3</v>
      </c>
      <c r="T148" t="s">
        <v>109</v>
      </c>
      <c r="U148" t="s">
        <v>32</v>
      </c>
      <c r="V148" t="s">
        <v>29</v>
      </c>
    </row>
    <row r="149" spans="1:22" x14ac:dyDescent="0.2">
      <c r="A149" t="s">
        <v>108</v>
      </c>
      <c r="B149" t="s">
        <v>115</v>
      </c>
      <c r="C149">
        <v>55</v>
      </c>
      <c r="D149">
        <v>8.0000000000000002E-3</v>
      </c>
      <c r="E149">
        <v>2.9000000000000001E-2</v>
      </c>
      <c r="F149" t="s">
        <v>24</v>
      </c>
      <c r="G149" t="s">
        <v>24</v>
      </c>
      <c r="H149" t="s">
        <v>24</v>
      </c>
      <c r="I149">
        <v>21</v>
      </c>
      <c r="J149">
        <v>2E-3</v>
      </c>
      <c r="K149">
        <v>7.0000000000000001E-3</v>
      </c>
      <c r="L149">
        <f t="shared" si="51"/>
        <v>0.67272727272727273</v>
      </c>
      <c r="M149">
        <f t="shared" si="52"/>
        <v>0.66666666666666663</v>
      </c>
      <c r="N149">
        <f t="shared" si="42"/>
        <v>0.66969696969696968</v>
      </c>
      <c r="O149">
        <v>64</v>
      </c>
      <c r="P149">
        <v>63</v>
      </c>
      <c r="Q149">
        <f t="shared" si="43"/>
        <v>63.5</v>
      </c>
      <c r="R149" t="s">
        <v>26</v>
      </c>
      <c r="S149">
        <f t="shared" si="53"/>
        <v>3</v>
      </c>
      <c r="T149" t="s">
        <v>109</v>
      </c>
      <c r="U149" t="s">
        <v>85</v>
      </c>
      <c r="V149" t="s">
        <v>29</v>
      </c>
    </row>
    <row r="150" spans="1:22" x14ac:dyDescent="0.2">
      <c r="A150" t="s">
        <v>108</v>
      </c>
      <c r="B150" t="s">
        <v>98</v>
      </c>
      <c r="C150">
        <v>55</v>
      </c>
      <c r="D150">
        <v>111.226</v>
      </c>
      <c r="E150">
        <v>60.54</v>
      </c>
      <c r="F150" t="s">
        <v>24</v>
      </c>
      <c r="G150" t="s">
        <v>24</v>
      </c>
      <c r="H150" t="s">
        <v>24</v>
      </c>
      <c r="I150">
        <v>21</v>
      </c>
      <c r="J150">
        <v>85.83</v>
      </c>
      <c r="K150">
        <v>37.33</v>
      </c>
      <c r="L150">
        <f t="shared" si="51"/>
        <v>0.67272727272727273</v>
      </c>
      <c r="M150">
        <f t="shared" si="52"/>
        <v>0.66666666666666663</v>
      </c>
      <c r="N150">
        <f t="shared" si="42"/>
        <v>0.66969696969696968</v>
      </c>
      <c r="O150">
        <v>64</v>
      </c>
      <c r="P150">
        <v>63</v>
      </c>
      <c r="Q150">
        <f t="shared" si="43"/>
        <v>63.5</v>
      </c>
      <c r="R150" t="s">
        <v>26</v>
      </c>
      <c r="S150">
        <f t="shared" si="53"/>
        <v>3</v>
      </c>
      <c r="T150" t="s">
        <v>109</v>
      </c>
      <c r="U150" t="s">
        <v>85</v>
      </c>
      <c r="V150" t="s">
        <v>29</v>
      </c>
    </row>
    <row r="151" spans="1:22" x14ac:dyDescent="0.2">
      <c r="A151" t="s">
        <v>116</v>
      </c>
      <c r="B151" t="s">
        <v>47</v>
      </c>
      <c r="C151">
        <v>130</v>
      </c>
      <c r="D151">
        <v>0.28999999999999998</v>
      </c>
      <c r="E151">
        <v>0.32</v>
      </c>
      <c r="F151">
        <v>130</v>
      </c>
      <c r="G151">
        <v>0.13</v>
      </c>
      <c r="H151">
        <v>0.11</v>
      </c>
      <c r="I151">
        <v>130</v>
      </c>
      <c r="J151">
        <v>0.13</v>
      </c>
      <c r="K151">
        <v>0.11</v>
      </c>
      <c r="L151">
        <f t="shared" ref="L151:L190" si="54">113/130</f>
        <v>0.86923076923076925</v>
      </c>
      <c r="M151">
        <f t="shared" ref="M151:M190" si="55">101/130</f>
        <v>0.77692307692307694</v>
      </c>
      <c r="N151">
        <f t="shared" si="42"/>
        <v>0.82307692307692304</v>
      </c>
      <c r="O151">
        <v>47.51</v>
      </c>
      <c r="P151">
        <v>45.65</v>
      </c>
      <c r="Q151">
        <f t="shared" si="43"/>
        <v>46.58</v>
      </c>
      <c r="R151" t="s">
        <v>35</v>
      </c>
      <c r="S151" t="s">
        <v>23</v>
      </c>
      <c r="T151" t="s">
        <v>23</v>
      </c>
      <c r="U151" t="s">
        <v>117</v>
      </c>
      <c r="V151" t="s">
        <v>29</v>
      </c>
    </row>
    <row r="152" spans="1:22" x14ac:dyDescent="0.2">
      <c r="A152" t="s">
        <v>116</v>
      </c>
      <c r="B152" t="s">
        <v>47</v>
      </c>
      <c r="C152">
        <v>50</v>
      </c>
      <c r="D152">
        <v>0.25</v>
      </c>
      <c r="E152">
        <v>0.22</v>
      </c>
      <c r="F152">
        <v>130</v>
      </c>
      <c r="G152">
        <v>0.13</v>
      </c>
      <c r="H152">
        <v>0.11</v>
      </c>
      <c r="I152">
        <f>F152/3</f>
        <v>43.333333333333336</v>
      </c>
      <c r="J152">
        <f t="shared" ref="J152:J154" si="56">G152</f>
        <v>0.13</v>
      </c>
      <c r="K152">
        <f>H152/(SQRT(3))</f>
        <v>6.3508529610858844E-2</v>
      </c>
      <c r="L152">
        <f t="shared" si="54"/>
        <v>0.86923076923076925</v>
      </c>
      <c r="M152">
        <f t="shared" si="55"/>
        <v>0.77692307692307694</v>
      </c>
      <c r="N152">
        <f t="shared" ref="N152:N215" si="57">AVERAGE(L152:M152)</f>
        <v>0.82307692307692304</v>
      </c>
      <c r="O152">
        <v>47.51</v>
      </c>
      <c r="P152">
        <v>45.65</v>
      </c>
      <c r="Q152">
        <f t="shared" ref="Q152:Q215" si="58">AVERAGE(O152:P152)</f>
        <v>46.58</v>
      </c>
      <c r="R152" t="s">
        <v>35</v>
      </c>
      <c r="S152" t="s">
        <v>23</v>
      </c>
      <c r="T152" t="s">
        <v>23</v>
      </c>
      <c r="U152" t="s">
        <v>117</v>
      </c>
      <c r="V152" t="s">
        <v>29</v>
      </c>
    </row>
    <row r="153" spans="1:22" x14ac:dyDescent="0.2">
      <c r="A153" t="s">
        <v>116</v>
      </c>
      <c r="B153" t="s">
        <v>47</v>
      </c>
      <c r="C153">
        <v>47</v>
      </c>
      <c r="D153">
        <v>0.24</v>
      </c>
      <c r="E153">
        <v>0.18</v>
      </c>
      <c r="F153">
        <v>130</v>
      </c>
      <c r="G153">
        <v>0.13</v>
      </c>
      <c r="H153">
        <v>0.11</v>
      </c>
      <c r="I153">
        <f t="shared" ref="I153:I154" si="59">F153/3</f>
        <v>43.333333333333336</v>
      </c>
      <c r="J153">
        <f t="shared" si="56"/>
        <v>0.13</v>
      </c>
      <c r="K153">
        <f>H153/(SQRT(3))</f>
        <v>6.3508529610858844E-2</v>
      </c>
      <c r="L153">
        <f t="shared" si="54"/>
        <v>0.86923076923076925</v>
      </c>
      <c r="M153">
        <f t="shared" si="55"/>
        <v>0.77692307692307694</v>
      </c>
      <c r="N153">
        <f t="shared" si="57"/>
        <v>0.82307692307692304</v>
      </c>
      <c r="O153">
        <v>47.51</v>
      </c>
      <c r="P153">
        <v>45.65</v>
      </c>
      <c r="Q153">
        <f t="shared" si="58"/>
        <v>46.58</v>
      </c>
      <c r="R153" t="s">
        <v>35</v>
      </c>
      <c r="S153" t="s">
        <v>23</v>
      </c>
      <c r="T153" t="s">
        <v>23</v>
      </c>
      <c r="U153" t="s">
        <v>117</v>
      </c>
      <c r="V153" t="s">
        <v>29</v>
      </c>
    </row>
    <row r="154" spans="1:22" x14ac:dyDescent="0.2">
      <c r="A154" t="s">
        <v>116</v>
      </c>
      <c r="B154" t="s">
        <v>47</v>
      </c>
      <c r="C154">
        <v>33</v>
      </c>
      <c r="D154">
        <v>0.44</v>
      </c>
      <c r="E154">
        <v>0.5</v>
      </c>
      <c r="F154">
        <v>130</v>
      </c>
      <c r="G154">
        <v>0.13</v>
      </c>
      <c r="H154">
        <v>0.11</v>
      </c>
      <c r="I154">
        <f t="shared" si="59"/>
        <v>43.333333333333336</v>
      </c>
      <c r="J154">
        <f t="shared" si="56"/>
        <v>0.13</v>
      </c>
      <c r="K154">
        <f>H154/(SQRT(3))</f>
        <v>6.3508529610858844E-2</v>
      </c>
      <c r="L154">
        <f t="shared" si="54"/>
        <v>0.86923076923076925</v>
      </c>
      <c r="M154">
        <f t="shared" si="55"/>
        <v>0.77692307692307694</v>
      </c>
      <c r="N154">
        <f t="shared" si="57"/>
        <v>0.82307692307692304</v>
      </c>
      <c r="O154">
        <v>47.51</v>
      </c>
      <c r="P154">
        <v>45.65</v>
      </c>
      <c r="Q154">
        <f t="shared" si="58"/>
        <v>46.58</v>
      </c>
      <c r="R154" t="s">
        <v>35</v>
      </c>
      <c r="S154" t="s">
        <v>23</v>
      </c>
      <c r="T154" t="s">
        <v>23</v>
      </c>
      <c r="U154" t="s">
        <v>117</v>
      </c>
      <c r="V154" t="s">
        <v>29</v>
      </c>
    </row>
    <row r="155" spans="1:22" x14ac:dyDescent="0.2">
      <c r="A155" t="s">
        <v>116</v>
      </c>
      <c r="B155" t="s">
        <v>100</v>
      </c>
      <c r="C155">
        <v>130</v>
      </c>
      <c r="D155">
        <v>7.03</v>
      </c>
      <c r="E155">
        <v>1.54</v>
      </c>
      <c r="F155">
        <v>130</v>
      </c>
      <c r="G155">
        <v>6.8</v>
      </c>
      <c r="H155">
        <v>1.56</v>
      </c>
      <c r="I155">
        <v>130</v>
      </c>
      <c r="J155">
        <v>6.8</v>
      </c>
      <c r="K155">
        <v>1.56</v>
      </c>
      <c r="L155">
        <f t="shared" si="54"/>
        <v>0.86923076923076925</v>
      </c>
      <c r="M155">
        <f t="shared" si="55"/>
        <v>0.77692307692307694</v>
      </c>
      <c r="N155">
        <f t="shared" si="57"/>
        <v>0.82307692307692304</v>
      </c>
      <c r="O155">
        <v>47.51</v>
      </c>
      <c r="P155">
        <v>45.65</v>
      </c>
      <c r="Q155">
        <f t="shared" si="58"/>
        <v>46.58</v>
      </c>
      <c r="R155" t="s">
        <v>35</v>
      </c>
      <c r="S155" t="s">
        <v>23</v>
      </c>
      <c r="T155" t="s">
        <v>23</v>
      </c>
      <c r="U155" t="s">
        <v>76</v>
      </c>
      <c r="V155" t="s">
        <v>29</v>
      </c>
    </row>
    <row r="156" spans="1:22" x14ac:dyDescent="0.2">
      <c r="A156" t="s">
        <v>116</v>
      </c>
      <c r="B156" t="s">
        <v>100</v>
      </c>
      <c r="C156">
        <v>50</v>
      </c>
      <c r="D156">
        <v>6.91</v>
      </c>
      <c r="E156">
        <v>1.3</v>
      </c>
      <c r="F156">
        <v>130</v>
      </c>
      <c r="G156">
        <v>6.8</v>
      </c>
      <c r="H156">
        <v>1.56</v>
      </c>
      <c r="I156">
        <f>F156/3</f>
        <v>43.333333333333336</v>
      </c>
      <c r="J156">
        <f t="shared" ref="J156:J158" si="60">G156</f>
        <v>6.8</v>
      </c>
      <c r="K156">
        <f>H156/(SQRT(3))</f>
        <v>0.90066641993581631</v>
      </c>
      <c r="L156">
        <f t="shared" si="54"/>
        <v>0.86923076923076925</v>
      </c>
      <c r="M156">
        <f t="shared" si="55"/>
        <v>0.77692307692307694</v>
      </c>
      <c r="N156">
        <f t="shared" si="57"/>
        <v>0.82307692307692304</v>
      </c>
      <c r="O156">
        <v>47.51</v>
      </c>
      <c r="P156">
        <v>45.65</v>
      </c>
      <c r="Q156">
        <f t="shared" si="58"/>
        <v>46.58</v>
      </c>
      <c r="R156" t="s">
        <v>35</v>
      </c>
      <c r="S156" t="s">
        <v>23</v>
      </c>
      <c r="T156" t="s">
        <v>23</v>
      </c>
      <c r="U156" t="s">
        <v>76</v>
      </c>
      <c r="V156" t="s">
        <v>29</v>
      </c>
    </row>
    <row r="157" spans="1:22" x14ac:dyDescent="0.2">
      <c r="A157" t="s">
        <v>116</v>
      </c>
      <c r="B157" t="s">
        <v>100</v>
      </c>
      <c r="C157">
        <v>47</v>
      </c>
      <c r="D157">
        <v>7.16</v>
      </c>
      <c r="E157">
        <v>1.53</v>
      </c>
      <c r="F157">
        <v>130</v>
      </c>
      <c r="G157">
        <v>6.8</v>
      </c>
      <c r="H157">
        <v>1.56</v>
      </c>
      <c r="I157">
        <f t="shared" ref="I157:I158" si="61">F157/3</f>
        <v>43.333333333333336</v>
      </c>
      <c r="J157">
        <f t="shared" si="60"/>
        <v>6.8</v>
      </c>
      <c r="K157">
        <f>H157/(SQRT(3))</f>
        <v>0.90066641993581631</v>
      </c>
      <c r="L157">
        <f t="shared" si="54"/>
        <v>0.86923076923076925</v>
      </c>
      <c r="M157">
        <f t="shared" si="55"/>
        <v>0.77692307692307694</v>
      </c>
      <c r="N157">
        <f t="shared" si="57"/>
        <v>0.82307692307692304</v>
      </c>
      <c r="O157">
        <v>47.51</v>
      </c>
      <c r="P157">
        <v>45.65</v>
      </c>
      <c r="Q157">
        <f t="shared" si="58"/>
        <v>46.58</v>
      </c>
      <c r="R157" t="s">
        <v>35</v>
      </c>
      <c r="S157" t="s">
        <v>23</v>
      </c>
      <c r="T157" t="s">
        <v>23</v>
      </c>
      <c r="U157" t="s">
        <v>76</v>
      </c>
      <c r="V157" t="s">
        <v>29</v>
      </c>
    </row>
    <row r="158" spans="1:22" x14ac:dyDescent="0.2">
      <c r="A158" t="s">
        <v>116</v>
      </c>
      <c r="B158" t="s">
        <v>100</v>
      </c>
      <c r="C158">
        <v>33</v>
      </c>
      <c r="D158">
        <v>7.03</v>
      </c>
      <c r="E158">
        <v>1.88</v>
      </c>
      <c r="F158">
        <v>130</v>
      </c>
      <c r="G158">
        <v>6.8</v>
      </c>
      <c r="H158">
        <v>1.56</v>
      </c>
      <c r="I158">
        <f t="shared" si="61"/>
        <v>43.333333333333336</v>
      </c>
      <c r="J158">
        <f t="shared" si="60"/>
        <v>6.8</v>
      </c>
      <c r="K158">
        <f>H158/(SQRT(3))</f>
        <v>0.90066641993581631</v>
      </c>
      <c r="L158">
        <f t="shared" si="54"/>
        <v>0.86923076923076925</v>
      </c>
      <c r="M158">
        <f t="shared" si="55"/>
        <v>0.77692307692307694</v>
      </c>
      <c r="N158">
        <f t="shared" si="57"/>
        <v>0.82307692307692304</v>
      </c>
      <c r="O158">
        <v>47.51</v>
      </c>
      <c r="P158">
        <v>45.65</v>
      </c>
      <c r="Q158">
        <f t="shared" si="58"/>
        <v>46.58</v>
      </c>
      <c r="R158" t="s">
        <v>35</v>
      </c>
      <c r="S158" t="s">
        <v>23</v>
      </c>
      <c r="T158" t="s">
        <v>23</v>
      </c>
      <c r="U158" t="s">
        <v>76</v>
      </c>
      <c r="V158" t="s">
        <v>29</v>
      </c>
    </row>
    <row r="159" spans="1:22" x14ac:dyDescent="0.2">
      <c r="A159" t="s">
        <v>116</v>
      </c>
      <c r="B159" t="s">
        <v>70</v>
      </c>
      <c r="C159">
        <v>130</v>
      </c>
      <c r="D159">
        <v>4.0599999999999996</v>
      </c>
      <c r="E159">
        <v>1.1399999999999999</v>
      </c>
      <c r="F159">
        <v>130</v>
      </c>
      <c r="G159">
        <v>3.93</v>
      </c>
      <c r="H159">
        <v>1.19</v>
      </c>
      <c r="I159">
        <v>130</v>
      </c>
      <c r="J159">
        <v>3.93</v>
      </c>
      <c r="K159">
        <v>1.19</v>
      </c>
      <c r="L159">
        <f t="shared" si="54"/>
        <v>0.86923076923076925</v>
      </c>
      <c r="M159">
        <f t="shared" si="55"/>
        <v>0.77692307692307694</v>
      </c>
      <c r="N159">
        <f t="shared" si="57"/>
        <v>0.82307692307692304</v>
      </c>
      <c r="O159">
        <v>47.51</v>
      </c>
      <c r="P159">
        <v>45.65</v>
      </c>
      <c r="Q159">
        <f t="shared" si="58"/>
        <v>46.58</v>
      </c>
      <c r="R159" t="s">
        <v>35</v>
      </c>
      <c r="S159" t="s">
        <v>23</v>
      </c>
      <c r="T159" t="s">
        <v>23</v>
      </c>
      <c r="U159" t="s">
        <v>76</v>
      </c>
      <c r="V159" t="s">
        <v>29</v>
      </c>
    </row>
    <row r="160" spans="1:22" x14ac:dyDescent="0.2">
      <c r="A160" t="s">
        <v>116</v>
      </c>
      <c r="B160" t="s">
        <v>70</v>
      </c>
      <c r="C160">
        <v>50</v>
      </c>
      <c r="D160">
        <v>4</v>
      </c>
      <c r="E160">
        <v>1.07</v>
      </c>
      <c r="F160">
        <v>130</v>
      </c>
      <c r="G160">
        <v>3.93</v>
      </c>
      <c r="H160">
        <v>1.19</v>
      </c>
      <c r="I160">
        <f>F160/3</f>
        <v>43.333333333333336</v>
      </c>
      <c r="J160">
        <f t="shared" ref="J160:J162" si="62">G160</f>
        <v>3.93</v>
      </c>
      <c r="K160">
        <f>H160/(SQRT(3))</f>
        <v>0.68704682033565467</v>
      </c>
      <c r="L160">
        <f t="shared" si="54"/>
        <v>0.86923076923076925</v>
      </c>
      <c r="M160">
        <f t="shared" si="55"/>
        <v>0.77692307692307694</v>
      </c>
      <c r="N160">
        <f t="shared" si="57"/>
        <v>0.82307692307692304</v>
      </c>
      <c r="O160">
        <v>47.51</v>
      </c>
      <c r="P160">
        <v>45.65</v>
      </c>
      <c r="Q160">
        <f t="shared" si="58"/>
        <v>46.58</v>
      </c>
      <c r="R160" t="s">
        <v>35</v>
      </c>
      <c r="S160" t="s">
        <v>23</v>
      </c>
      <c r="T160" t="s">
        <v>23</v>
      </c>
      <c r="U160" t="s">
        <v>76</v>
      </c>
      <c r="V160" t="s">
        <v>29</v>
      </c>
    </row>
    <row r="161" spans="1:22" x14ac:dyDescent="0.2">
      <c r="A161" t="s">
        <v>116</v>
      </c>
      <c r="B161" t="s">
        <v>70</v>
      </c>
      <c r="C161">
        <v>47</v>
      </c>
      <c r="D161">
        <v>4.12</v>
      </c>
      <c r="E161">
        <v>1.22</v>
      </c>
      <c r="F161">
        <v>130</v>
      </c>
      <c r="G161">
        <v>3.93</v>
      </c>
      <c r="H161">
        <v>1.19</v>
      </c>
      <c r="I161">
        <f t="shared" ref="I161:I162" si="63">F161/3</f>
        <v>43.333333333333336</v>
      </c>
      <c r="J161">
        <f t="shared" si="62"/>
        <v>3.93</v>
      </c>
      <c r="K161">
        <f>H161/(SQRT(3))</f>
        <v>0.68704682033565467</v>
      </c>
      <c r="L161">
        <f t="shared" si="54"/>
        <v>0.86923076923076925</v>
      </c>
      <c r="M161">
        <f t="shared" si="55"/>
        <v>0.77692307692307694</v>
      </c>
      <c r="N161">
        <f t="shared" si="57"/>
        <v>0.82307692307692304</v>
      </c>
      <c r="O161">
        <v>47.51</v>
      </c>
      <c r="P161">
        <v>45.65</v>
      </c>
      <c r="Q161">
        <f t="shared" si="58"/>
        <v>46.58</v>
      </c>
      <c r="R161" t="s">
        <v>35</v>
      </c>
      <c r="S161" t="s">
        <v>23</v>
      </c>
      <c r="T161" t="s">
        <v>23</v>
      </c>
      <c r="U161" t="s">
        <v>76</v>
      </c>
      <c r="V161" t="s">
        <v>29</v>
      </c>
    </row>
    <row r="162" spans="1:22" x14ac:dyDescent="0.2">
      <c r="A162" t="s">
        <v>116</v>
      </c>
      <c r="B162" t="s">
        <v>70</v>
      </c>
      <c r="C162">
        <v>33</v>
      </c>
      <c r="D162">
        <v>4.08</v>
      </c>
      <c r="E162">
        <v>1.1599999999999999</v>
      </c>
      <c r="F162">
        <v>130</v>
      </c>
      <c r="G162">
        <v>3.93</v>
      </c>
      <c r="H162">
        <v>1.19</v>
      </c>
      <c r="I162">
        <f t="shared" si="63"/>
        <v>43.333333333333336</v>
      </c>
      <c r="J162">
        <f t="shared" si="62"/>
        <v>3.93</v>
      </c>
      <c r="K162">
        <f>H162/(SQRT(3))</f>
        <v>0.68704682033565467</v>
      </c>
      <c r="L162">
        <f t="shared" si="54"/>
        <v>0.86923076923076925</v>
      </c>
      <c r="M162">
        <f t="shared" si="55"/>
        <v>0.77692307692307694</v>
      </c>
      <c r="N162">
        <f t="shared" si="57"/>
        <v>0.82307692307692304</v>
      </c>
      <c r="O162">
        <v>47.51</v>
      </c>
      <c r="P162">
        <v>45.65</v>
      </c>
      <c r="Q162">
        <f t="shared" si="58"/>
        <v>46.58</v>
      </c>
      <c r="R162" t="s">
        <v>35</v>
      </c>
      <c r="S162" t="s">
        <v>23</v>
      </c>
      <c r="T162" t="s">
        <v>23</v>
      </c>
      <c r="U162" t="s">
        <v>76</v>
      </c>
      <c r="V162" t="s">
        <v>29</v>
      </c>
    </row>
    <row r="163" spans="1:22" x14ac:dyDescent="0.2">
      <c r="A163" t="s">
        <v>116</v>
      </c>
      <c r="B163" t="s">
        <v>71</v>
      </c>
      <c r="C163">
        <v>130</v>
      </c>
      <c r="D163">
        <v>2.3199999999999998</v>
      </c>
      <c r="E163">
        <v>0.57999999999999996</v>
      </c>
      <c r="F163">
        <v>130</v>
      </c>
      <c r="G163">
        <v>2.23</v>
      </c>
      <c r="H163">
        <v>0.68</v>
      </c>
      <c r="I163">
        <v>130</v>
      </c>
      <c r="J163">
        <v>2.23</v>
      </c>
      <c r="K163">
        <v>0.68</v>
      </c>
      <c r="L163">
        <f t="shared" si="54"/>
        <v>0.86923076923076925</v>
      </c>
      <c r="M163">
        <f t="shared" si="55"/>
        <v>0.77692307692307694</v>
      </c>
      <c r="N163">
        <f t="shared" si="57"/>
        <v>0.82307692307692304</v>
      </c>
      <c r="O163">
        <v>47.51</v>
      </c>
      <c r="P163">
        <v>45.65</v>
      </c>
      <c r="Q163">
        <f t="shared" si="58"/>
        <v>46.58</v>
      </c>
      <c r="R163" t="s">
        <v>35</v>
      </c>
      <c r="S163" t="s">
        <v>23</v>
      </c>
      <c r="T163" t="s">
        <v>23</v>
      </c>
      <c r="U163" t="s">
        <v>76</v>
      </c>
      <c r="V163" t="s">
        <v>29</v>
      </c>
    </row>
    <row r="164" spans="1:22" x14ac:dyDescent="0.2">
      <c r="A164" t="s">
        <v>116</v>
      </c>
      <c r="B164" t="s">
        <v>71</v>
      </c>
      <c r="C164">
        <v>50</v>
      </c>
      <c r="D164">
        <v>2.21</v>
      </c>
      <c r="E164">
        <v>0.54</v>
      </c>
      <c r="F164">
        <v>130</v>
      </c>
      <c r="G164">
        <v>2.23</v>
      </c>
      <c r="H164">
        <v>0.68</v>
      </c>
      <c r="I164">
        <f>F164/3</f>
        <v>43.333333333333336</v>
      </c>
      <c r="J164">
        <f t="shared" ref="J164:J166" si="64">G164</f>
        <v>2.23</v>
      </c>
      <c r="K164">
        <f>H164/(SQRT(3))</f>
        <v>0.39259818304894556</v>
      </c>
      <c r="L164">
        <f t="shared" si="54"/>
        <v>0.86923076923076925</v>
      </c>
      <c r="M164">
        <f t="shared" si="55"/>
        <v>0.77692307692307694</v>
      </c>
      <c r="N164">
        <f t="shared" si="57"/>
        <v>0.82307692307692304</v>
      </c>
      <c r="O164">
        <v>47.51</v>
      </c>
      <c r="P164">
        <v>45.65</v>
      </c>
      <c r="Q164">
        <f t="shared" si="58"/>
        <v>46.58</v>
      </c>
      <c r="R164" t="s">
        <v>35</v>
      </c>
      <c r="S164" t="s">
        <v>23</v>
      </c>
      <c r="T164" t="s">
        <v>23</v>
      </c>
      <c r="U164" t="s">
        <v>76</v>
      </c>
      <c r="V164" t="s">
        <v>29</v>
      </c>
    </row>
    <row r="165" spans="1:22" x14ac:dyDescent="0.2">
      <c r="A165" t="s">
        <v>116</v>
      </c>
      <c r="B165" t="s">
        <v>71</v>
      </c>
      <c r="C165">
        <v>47</v>
      </c>
      <c r="D165">
        <v>2.35</v>
      </c>
      <c r="E165">
        <v>0.61</v>
      </c>
      <c r="F165">
        <v>130</v>
      </c>
      <c r="G165">
        <v>2.23</v>
      </c>
      <c r="H165">
        <v>0.68</v>
      </c>
      <c r="I165">
        <f t="shared" ref="I165:I166" si="65">F165/3</f>
        <v>43.333333333333336</v>
      </c>
      <c r="J165">
        <f t="shared" si="64"/>
        <v>2.23</v>
      </c>
      <c r="K165">
        <f>H165/(SQRT(3))</f>
        <v>0.39259818304894556</v>
      </c>
      <c r="L165">
        <f t="shared" si="54"/>
        <v>0.86923076923076925</v>
      </c>
      <c r="M165">
        <f t="shared" si="55"/>
        <v>0.77692307692307694</v>
      </c>
      <c r="N165">
        <f t="shared" si="57"/>
        <v>0.82307692307692304</v>
      </c>
      <c r="O165">
        <v>47.51</v>
      </c>
      <c r="P165">
        <v>45.65</v>
      </c>
      <c r="Q165">
        <f t="shared" si="58"/>
        <v>46.58</v>
      </c>
      <c r="R165" t="s">
        <v>35</v>
      </c>
      <c r="S165" t="s">
        <v>23</v>
      </c>
      <c r="T165" t="s">
        <v>23</v>
      </c>
      <c r="U165" t="s">
        <v>76</v>
      </c>
      <c r="V165" t="s">
        <v>29</v>
      </c>
    </row>
    <row r="166" spans="1:22" x14ac:dyDescent="0.2">
      <c r="A166" t="s">
        <v>116</v>
      </c>
      <c r="B166" t="s">
        <v>71</v>
      </c>
      <c r="C166">
        <v>33</v>
      </c>
      <c r="D166">
        <v>2.44</v>
      </c>
      <c r="E166">
        <v>0.59</v>
      </c>
      <c r="F166">
        <v>130</v>
      </c>
      <c r="G166">
        <v>2.23</v>
      </c>
      <c r="H166">
        <v>0.68</v>
      </c>
      <c r="I166">
        <f t="shared" si="65"/>
        <v>43.333333333333336</v>
      </c>
      <c r="J166">
        <f t="shared" si="64"/>
        <v>2.23</v>
      </c>
      <c r="K166">
        <f>H166/(SQRT(3))</f>
        <v>0.39259818304894556</v>
      </c>
      <c r="L166">
        <f t="shared" si="54"/>
        <v>0.86923076923076925</v>
      </c>
      <c r="M166">
        <f t="shared" si="55"/>
        <v>0.77692307692307694</v>
      </c>
      <c r="N166">
        <f t="shared" si="57"/>
        <v>0.82307692307692304</v>
      </c>
      <c r="O166">
        <v>47.51</v>
      </c>
      <c r="P166">
        <v>45.65</v>
      </c>
      <c r="Q166">
        <f t="shared" si="58"/>
        <v>46.58</v>
      </c>
      <c r="R166" t="s">
        <v>35</v>
      </c>
      <c r="S166" t="s">
        <v>23</v>
      </c>
      <c r="T166" t="s">
        <v>23</v>
      </c>
      <c r="U166" t="s">
        <v>76</v>
      </c>
      <c r="V166" t="s">
        <v>29</v>
      </c>
    </row>
    <row r="167" spans="1:22" x14ac:dyDescent="0.2">
      <c r="A167" t="s">
        <v>116</v>
      </c>
      <c r="B167" t="s">
        <v>72</v>
      </c>
      <c r="C167">
        <v>130</v>
      </c>
      <c r="D167">
        <v>0.43</v>
      </c>
      <c r="E167">
        <v>0.14000000000000001</v>
      </c>
      <c r="F167">
        <v>130</v>
      </c>
      <c r="G167">
        <v>0.46</v>
      </c>
      <c r="H167">
        <v>0.17</v>
      </c>
      <c r="I167">
        <v>130</v>
      </c>
      <c r="J167">
        <v>0.46</v>
      </c>
      <c r="K167">
        <v>0.17</v>
      </c>
      <c r="L167">
        <f t="shared" si="54"/>
        <v>0.86923076923076925</v>
      </c>
      <c r="M167">
        <f t="shared" si="55"/>
        <v>0.77692307692307694</v>
      </c>
      <c r="N167">
        <f t="shared" si="57"/>
        <v>0.82307692307692304</v>
      </c>
      <c r="O167">
        <v>47.51</v>
      </c>
      <c r="P167">
        <v>45.65</v>
      </c>
      <c r="Q167">
        <f t="shared" si="58"/>
        <v>46.58</v>
      </c>
      <c r="R167" t="s">
        <v>35</v>
      </c>
      <c r="S167" t="s">
        <v>23</v>
      </c>
      <c r="T167" t="s">
        <v>23</v>
      </c>
      <c r="U167" t="s">
        <v>76</v>
      </c>
      <c r="V167" t="s">
        <v>29</v>
      </c>
    </row>
    <row r="168" spans="1:22" x14ac:dyDescent="0.2">
      <c r="A168" t="s">
        <v>116</v>
      </c>
      <c r="B168" t="s">
        <v>72</v>
      </c>
      <c r="C168">
        <v>50</v>
      </c>
      <c r="D168">
        <v>0.43</v>
      </c>
      <c r="E168">
        <v>0.13</v>
      </c>
      <c r="F168">
        <v>130</v>
      </c>
      <c r="G168">
        <v>0.46</v>
      </c>
      <c r="H168">
        <v>0.17</v>
      </c>
      <c r="I168">
        <f>F168/3</f>
        <v>43.333333333333336</v>
      </c>
      <c r="J168">
        <f t="shared" ref="J168:J170" si="66">G168</f>
        <v>0.46</v>
      </c>
      <c r="K168">
        <f>H168/(SQRT(3))</f>
        <v>9.814954576223639E-2</v>
      </c>
      <c r="L168">
        <f t="shared" si="54"/>
        <v>0.86923076923076925</v>
      </c>
      <c r="M168">
        <f t="shared" si="55"/>
        <v>0.77692307692307694</v>
      </c>
      <c r="N168">
        <f t="shared" si="57"/>
        <v>0.82307692307692304</v>
      </c>
      <c r="O168">
        <v>47.51</v>
      </c>
      <c r="P168">
        <v>45.65</v>
      </c>
      <c r="Q168">
        <f t="shared" si="58"/>
        <v>46.58</v>
      </c>
      <c r="R168" t="s">
        <v>35</v>
      </c>
      <c r="S168" t="s">
        <v>23</v>
      </c>
      <c r="T168" t="s">
        <v>23</v>
      </c>
      <c r="U168" t="s">
        <v>76</v>
      </c>
      <c r="V168" t="s">
        <v>29</v>
      </c>
    </row>
    <row r="169" spans="1:22" x14ac:dyDescent="0.2">
      <c r="A169" t="s">
        <v>116</v>
      </c>
      <c r="B169" t="s">
        <v>72</v>
      </c>
      <c r="C169">
        <v>47</v>
      </c>
      <c r="D169">
        <v>0.43</v>
      </c>
      <c r="E169">
        <v>0.15</v>
      </c>
      <c r="F169">
        <v>130</v>
      </c>
      <c r="G169">
        <v>0.46</v>
      </c>
      <c r="H169">
        <v>0.17</v>
      </c>
      <c r="I169">
        <f t="shared" ref="I169:I170" si="67">F169/3</f>
        <v>43.333333333333336</v>
      </c>
      <c r="J169">
        <f t="shared" si="66"/>
        <v>0.46</v>
      </c>
      <c r="K169">
        <f>H169/(SQRT(3))</f>
        <v>9.814954576223639E-2</v>
      </c>
      <c r="L169">
        <f t="shared" si="54"/>
        <v>0.86923076923076925</v>
      </c>
      <c r="M169">
        <f t="shared" si="55"/>
        <v>0.77692307692307694</v>
      </c>
      <c r="N169">
        <f t="shared" si="57"/>
        <v>0.82307692307692304</v>
      </c>
      <c r="O169">
        <v>47.51</v>
      </c>
      <c r="P169">
        <v>45.65</v>
      </c>
      <c r="Q169">
        <f t="shared" si="58"/>
        <v>46.58</v>
      </c>
      <c r="R169" t="s">
        <v>35</v>
      </c>
      <c r="S169" t="s">
        <v>23</v>
      </c>
      <c r="T169" t="s">
        <v>23</v>
      </c>
      <c r="U169" t="s">
        <v>76</v>
      </c>
      <c r="V169" t="s">
        <v>29</v>
      </c>
    </row>
    <row r="170" spans="1:22" x14ac:dyDescent="0.2">
      <c r="A170" t="s">
        <v>116</v>
      </c>
      <c r="B170" t="s">
        <v>72</v>
      </c>
      <c r="C170">
        <v>33</v>
      </c>
      <c r="D170">
        <v>0.44</v>
      </c>
      <c r="E170">
        <v>0.13</v>
      </c>
      <c r="F170">
        <v>130</v>
      </c>
      <c r="G170">
        <v>0.46</v>
      </c>
      <c r="H170">
        <v>0.17</v>
      </c>
      <c r="I170">
        <f t="shared" si="67"/>
        <v>43.333333333333336</v>
      </c>
      <c r="J170">
        <f t="shared" si="66"/>
        <v>0.46</v>
      </c>
      <c r="K170">
        <f>H170/(SQRT(3))</f>
        <v>9.814954576223639E-2</v>
      </c>
      <c r="L170">
        <f t="shared" si="54"/>
        <v>0.86923076923076925</v>
      </c>
      <c r="M170">
        <f t="shared" si="55"/>
        <v>0.77692307692307694</v>
      </c>
      <c r="N170">
        <f t="shared" si="57"/>
        <v>0.82307692307692304</v>
      </c>
      <c r="O170">
        <v>47.51</v>
      </c>
      <c r="P170">
        <v>45.65</v>
      </c>
      <c r="Q170">
        <f t="shared" si="58"/>
        <v>46.58</v>
      </c>
      <c r="R170" t="s">
        <v>35</v>
      </c>
      <c r="S170" t="s">
        <v>23</v>
      </c>
      <c r="T170" t="s">
        <v>23</v>
      </c>
      <c r="U170" t="s">
        <v>76</v>
      </c>
      <c r="V170" t="s">
        <v>29</v>
      </c>
    </row>
    <row r="171" spans="1:22" x14ac:dyDescent="0.2">
      <c r="A171" t="s">
        <v>116</v>
      </c>
      <c r="B171" t="s">
        <v>73</v>
      </c>
      <c r="C171">
        <v>130</v>
      </c>
      <c r="D171">
        <v>262.14999999999998</v>
      </c>
      <c r="E171">
        <v>54.66</v>
      </c>
      <c r="F171">
        <v>130</v>
      </c>
      <c r="G171">
        <v>249.51</v>
      </c>
      <c r="H171">
        <v>56.68</v>
      </c>
      <c r="I171">
        <v>130</v>
      </c>
      <c r="J171">
        <v>249.51</v>
      </c>
      <c r="K171">
        <v>56.68</v>
      </c>
      <c r="L171">
        <f t="shared" si="54"/>
        <v>0.86923076923076925</v>
      </c>
      <c r="M171">
        <f t="shared" si="55"/>
        <v>0.77692307692307694</v>
      </c>
      <c r="N171">
        <f t="shared" si="57"/>
        <v>0.82307692307692304</v>
      </c>
      <c r="O171">
        <v>47.51</v>
      </c>
      <c r="P171">
        <v>45.65</v>
      </c>
      <c r="Q171">
        <f t="shared" si="58"/>
        <v>46.58</v>
      </c>
      <c r="R171" t="s">
        <v>35</v>
      </c>
      <c r="S171" t="s">
        <v>23</v>
      </c>
      <c r="T171" t="s">
        <v>23</v>
      </c>
      <c r="U171" t="s">
        <v>76</v>
      </c>
      <c r="V171" t="s">
        <v>29</v>
      </c>
    </row>
    <row r="172" spans="1:22" x14ac:dyDescent="0.2">
      <c r="A172" t="s">
        <v>116</v>
      </c>
      <c r="B172" t="s">
        <v>73</v>
      </c>
      <c r="C172">
        <v>50</v>
      </c>
      <c r="D172">
        <v>258.8</v>
      </c>
      <c r="E172">
        <v>54.25</v>
      </c>
      <c r="F172">
        <v>130</v>
      </c>
      <c r="G172">
        <v>249.51</v>
      </c>
      <c r="H172">
        <v>56.68</v>
      </c>
      <c r="I172">
        <f>F172/3</f>
        <v>43.333333333333336</v>
      </c>
      <c r="J172">
        <f t="shared" ref="J172:J174" si="68">G172</f>
        <v>249.51</v>
      </c>
      <c r="K172">
        <f>H172/(SQRT(3))</f>
        <v>32.724213257667991</v>
      </c>
      <c r="L172">
        <f t="shared" si="54"/>
        <v>0.86923076923076925</v>
      </c>
      <c r="M172">
        <f t="shared" si="55"/>
        <v>0.77692307692307694</v>
      </c>
      <c r="N172">
        <f t="shared" si="57"/>
        <v>0.82307692307692304</v>
      </c>
      <c r="O172">
        <v>47.51</v>
      </c>
      <c r="P172">
        <v>45.65</v>
      </c>
      <c r="Q172">
        <f t="shared" si="58"/>
        <v>46.58</v>
      </c>
      <c r="R172" t="s">
        <v>35</v>
      </c>
      <c r="S172" t="s">
        <v>23</v>
      </c>
      <c r="T172" t="s">
        <v>23</v>
      </c>
      <c r="U172" t="s">
        <v>76</v>
      </c>
      <c r="V172" t="s">
        <v>29</v>
      </c>
    </row>
    <row r="173" spans="1:22" x14ac:dyDescent="0.2">
      <c r="A173" t="s">
        <v>116</v>
      </c>
      <c r="B173" t="s">
        <v>73</v>
      </c>
      <c r="C173">
        <v>47</v>
      </c>
      <c r="D173">
        <v>262.95999999999998</v>
      </c>
      <c r="E173">
        <v>61.67</v>
      </c>
      <c r="F173">
        <v>130</v>
      </c>
      <c r="G173">
        <v>249.51</v>
      </c>
      <c r="H173">
        <v>56.68</v>
      </c>
      <c r="I173">
        <f t="shared" ref="I173:I174" si="69">F173/3</f>
        <v>43.333333333333336</v>
      </c>
      <c r="J173">
        <f t="shared" si="68"/>
        <v>249.51</v>
      </c>
      <c r="K173">
        <f>H173/(SQRT(3))</f>
        <v>32.724213257667991</v>
      </c>
      <c r="L173">
        <f t="shared" si="54"/>
        <v>0.86923076923076925</v>
      </c>
      <c r="M173">
        <f t="shared" si="55"/>
        <v>0.77692307692307694</v>
      </c>
      <c r="N173">
        <f t="shared" si="57"/>
        <v>0.82307692307692304</v>
      </c>
      <c r="O173">
        <v>47.51</v>
      </c>
      <c r="P173">
        <v>45.65</v>
      </c>
      <c r="Q173">
        <f t="shared" si="58"/>
        <v>46.58</v>
      </c>
      <c r="R173" t="s">
        <v>35</v>
      </c>
      <c r="S173" t="s">
        <v>23</v>
      </c>
      <c r="T173" t="s">
        <v>23</v>
      </c>
      <c r="U173" t="s">
        <v>76</v>
      </c>
      <c r="V173" t="s">
        <v>29</v>
      </c>
    </row>
    <row r="174" spans="1:22" x14ac:dyDescent="0.2">
      <c r="A174" t="s">
        <v>116</v>
      </c>
      <c r="B174" t="s">
        <v>73</v>
      </c>
      <c r="C174">
        <v>33</v>
      </c>
      <c r="D174">
        <v>266.08999999999997</v>
      </c>
      <c r="E174">
        <v>45.13</v>
      </c>
      <c r="F174">
        <v>130</v>
      </c>
      <c r="G174">
        <v>249.51</v>
      </c>
      <c r="H174">
        <v>56.68</v>
      </c>
      <c r="I174">
        <f t="shared" si="69"/>
        <v>43.333333333333336</v>
      </c>
      <c r="J174">
        <f t="shared" si="68"/>
        <v>249.51</v>
      </c>
      <c r="K174">
        <f>H174/(SQRT(3))</f>
        <v>32.724213257667991</v>
      </c>
      <c r="L174">
        <f t="shared" si="54"/>
        <v>0.86923076923076925</v>
      </c>
      <c r="M174">
        <f t="shared" si="55"/>
        <v>0.77692307692307694</v>
      </c>
      <c r="N174">
        <f t="shared" si="57"/>
        <v>0.82307692307692304</v>
      </c>
      <c r="O174">
        <v>47.51</v>
      </c>
      <c r="P174">
        <v>45.65</v>
      </c>
      <c r="Q174">
        <f t="shared" si="58"/>
        <v>46.58</v>
      </c>
      <c r="R174" t="s">
        <v>35</v>
      </c>
      <c r="S174" t="s">
        <v>23</v>
      </c>
      <c r="T174" t="s">
        <v>23</v>
      </c>
      <c r="U174" t="s">
        <v>76</v>
      </c>
      <c r="V174" t="s">
        <v>29</v>
      </c>
    </row>
    <row r="175" spans="1:22" x14ac:dyDescent="0.2">
      <c r="A175" t="s">
        <v>116</v>
      </c>
      <c r="B175" t="s">
        <v>77</v>
      </c>
      <c r="C175">
        <v>130</v>
      </c>
      <c r="D175">
        <v>118.7</v>
      </c>
      <c r="E175">
        <v>34.369999999999997</v>
      </c>
      <c r="F175">
        <v>130</v>
      </c>
      <c r="G175">
        <v>122.45</v>
      </c>
      <c r="H175">
        <v>55.13</v>
      </c>
      <c r="I175">
        <v>130</v>
      </c>
      <c r="J175">
        <v>122.45</v>
      </c>
      <c r="K175">
        <v>55.13</v>
      </c>
      <c r="L175">
        <f t="shared" si="54"/>
        <v>0.86923076923076925</v>
      </c>
      <c r="M175">
        <f t="shared" si="55"/>
        <v>0.77692307692307694</v>
      </c>
      <c r="N175">
        <f t="shared" si="57"/>
        <v>0.82307692307692304</v>
      </c>
      <c r="O175">
        <v>47.51</v>
      </c>
      <c r="P175">
        <v>45.65</v>
      </c>
      <c r="Q175">
        <f t="shared" si="58"/>
        <v>46.58</v>
      </c>
      <c r="R175" t="s">
        <v>35</v>
      </c>
      <c r="S175" t="s">
        <v>23</v>
      </c>
      <c r="T175" t="s">
        <v>23</v>
      </c>
      <c r="U175" t="s">
        <v>76</v>
      </c>
      <c r="V175" t="s">
        <v>29</v>
      </c>
    </row>
    <row r="176" spans="1:22" x14ac:dyDescent="0.2">
      <c r="A176" t="s">
        <v>116</v>
      </c>
      <c r="B176" t="s">
        <v>77</v>
      </c>
      <c r="C176">
        <v>50</v>
      </c>
      <c r="D176">
        <v>123.17</v>
      </c>
      <c r="E176">
        <v>37.97</v>
      </c>
      <c r="F176">
        <v>130</v>
      </c>
      <c r="G176">
        <v>122.45</v>
      </c>
      <c r="H176">
        <v>55.13</v>
      </c>
      <c r="I176">
        <f>F176/3</f>
        <v>43.333333333333336</v>
      </c>
      <c r="J176">
        <f t="shared" ref="J176:J178" si="70">G176</f>
        <v>122.45</v>
      </c>
      <c r="K176">
        <f>H176/(SQRT(3))</f>
        <v>31.829320340424072</v>
      </c>
      <c r="L176">
        <f t="shared" si="54"/>
        <v>0.86923076923076925</v>
      </c>
      <c r="M176">
        <f t="shared" si="55"/>
        <v>0.77692307692307694</v>
      </c>
      <c r="N176">
        <f t="shared" si="57"/>
        <v>0.82307692307692304</v>
      </c>
      <c r="O176">
        <v>47.51</v>
      </c>
      <c r="P176">
        <v>45.65</v>
      </c>
      <c r="Q176">
        <f t="shared" si="58"/>
        <v>46.58</v>
      </c>
      <c r="R176" t="s">
        <v>35</v>
      </c>
      <c r="S176" t="s">
        <v>23</v>
      </c>
      <c r="T176" t="s">
        <v>23</v>
      </c>
      <c r="U176" t="s">
        <v>76</v>
      </c>
      <c r="V176" t="s">
        <v>29</v>
      </c>
    </row>
    <row r="177" spans="1:22" x14ac:dyDescent="0.2">
      <c r="A177" t="s">
        <v>116</v>
      </c>
      <c r="B177" t="s">
        <v>77</v>
      </c>
      <c r="C177">
        <v>47</v>
      </c>
      <c r="D177">
        <v>117.62</v>
      </c>
      <c r="E177">
        <v>34.32</v>
      </c>
      <c r="F177">
        <v>130</v>
      </c>
      <c r="G177">
        <v>122.45</v>
      </c>
      <c r="H177">
        <v>55.13</v>
      </c>
      <c r="I177">
        <f t="shared" ref="I177:I178" si="71">F177/3</f>
        <v>43.333333333333336</v>
      </c>
      <c r="J177">
        <f t="shared" si="70"/>
        <v>122.45</v>
      </c>
      <c r="K177">
        <f>H177/(SQRT(3))</f>
        <v>31.829320340424072</v>
      </c>
      <c r="L177">
        <f t="shared" si="54"/>
        <v>0.86923076923076925</v>
      </c>
      <c r="M177">
        <f t="shared" si="55"/>
        <v>0.77692307692307694</v>
      </c>
      <c r="N177">
        <f t="shared" si="57"/>
        <v>0.82307692307692304</v>
      </c>
      <c r="O177">
        <v>47.51</v>
      </c>
      <c r="P177">
        <v>45.65</v>
      </c>
      <c r="Q177">
        <f t="shared" si="58"/>
        <v>46.58</v>
      </c>
      <c r="R177" t="s">
        <v>35</v>
      </c>
      <c r="S177" t="s">
        <v>23</v>
      </c>
      <c r="T177" t="s">
        <v>23</v>
      </c>
      <c r="U177" t="s">
        <v>76</v>
      </c>
      <c r="V177" t="s">
        <v>29</v>
      </c>
    </row>
    <row r="178" spans="1:22" x14ac:dyDescent="0.2">
      <c r="A178" t="s">
        <v>116</v>
      </c>
      <c r="B178" t="s">
        <v>77</v>
      </c>
      <c r="C178">
        <v>33</v>
      </c>
      <c r="D178">
        <v>113.46</v>
      </c>
      <c r="E178">
        <v>28.3</v>
      </c>
      <c r="F178">
        <v>130</v>
      </c>
      <c r="G178">
        <v>122.45</v>
      </c>
      <c r="H178">
        <v>55.13</v>
      </c>
      <c r="I178">
        <f t="shared" si="71"/>
        <v>43.333333333333336</v>
      </c>
      <c r="J178">
        <f t="shared" si="70"/>
        <v>122.45</v>
      </c>
      <c r="K178">
        <f>H178/(SQRT(3))</f>
        <v>31.829320340424072</v>
      </c>
      <c r="L178">
        <f t="shared" si="54"/>
        <v>0.86923076923076925</v>
      </c>
      <c r="M178">
        <f t="shared" si="55"/>
        <v>0.77692307692307694</v>
      </c>
      <c r="N178">
        <f t="shared" si="57"/>
        <v>0.82307692307692304</v>
      </c>
      <c r="O178">
        <v>47.51</v>
      </c>
      <c r="P178">
        <v>45.65</v>
      </c>
      <c r="Q178">
        <f t="shared" si="58"/>
        <v>46.58</v>
      </c>
      <c r="R178" t="s">
        <v>35</v>
      </c>
      <c r="S178" t="s">
        <v>23</v>
      </c>
      <c r="T178" t="s">
        <v>23</v>
      </c>
      <c r="U178" t="s">
        <v>76</v>
      </c>
      <c r="V178" t="s">
        <v>29</v>
      </c>
    </row>
    <row r="179" spans="1:22" x14ac:dyDescent="0.2">
      <c r="A179" t="s">
        <v>116</v>
      </c>
      <c r="B179" t="s">
        <v>78</v>
      </c>
      <c r="C179">
        <v>130</v>
      </c>
      <c r="D179">
        <v>1.85</v>
      </c>
      <c r="E179">
        <v>0.67</v>
      </c>
      <c r="F179">
        <v>130</v>
      </c>
      <c r="G179">
        <v>1.93</v>
      </c>
      <c r="H179">
        <v>1.03</v>
      </c>
      <c r="I179">
        <v>130</v>
      </c>
      <c r="J179">
        <v>1.93</v>
      </c>
      <c r="K179">
        <v>1.03</v>
      </c>
      <c r="L179">
        <f t="shared" si="54"/>
        <v>0.86923076923076925</v>
      </c>
      <c r="M179">
        <f t="shared" si="55"/>
        <v>0.77692307692307694</v>
      </c>
      <c r="N179">
        <f t="shared" si="57"/>
        <v>0.82307692307692304</v>
      </c>
      <c r="O179">
        <v>47.51</v>
      </c>
      <c r="P179">
        <v>45.65</v>
      </c>
      <c r="Q179">
        <f t="shared" si="58"/>
        <v>46.58</v>
      </c>
      <c r="R179" t="s">
        <v>35</v>
      </c>
      <c r="S179" t="s">
        <v>23</v>
      </c>
      <c r="T179" t="s">
        <v>23</v>
      </c>
      <c r="U179" t="s">
        <v>76</v>
      </c>
      <c r="V179" t="s">
        <v>29</v>
      </c>
    </row>
    <row r="180" spans="1:22" x14ac:dyDescent="0.2">
      <c r="A180" t="s">
        <v>116</v>
      </c>
      <c r="B180" t="s">
        <v>78</v>
      </c>
      <c r="C180">
        <v>50</v>
      </c>
      <c r="D180">
        <v>1.91</v>
      </c>
      <c r="E180">
        <v>1.93</v>
      </c>
      <c r="F180">
        <v>130</v>
      </c>
      <c r="G180">
        <v>1.93</v>
      </c>
      <c r="H180">
        <v>1.03</v>
      </c>
      <c r="I180">
        <f>F180/3</f>
        <v>43.333333333333336</v>
      </c>
      <c r="J180">
        <f t="shared" ref="J180:J182" si="72">G180</f>
        <v>1.93</v>
      </c>
      <c r="K180">
        <f>H180/(SQRT(3))</f>
        <v>0.59467077726531459</v>
      </c>
      <c r="L180">
        <f t="shared" si="54"/>
        <v>0.86923076923076925</v>
      </c>
      <c r="M180">
        <f t="shared" si="55"/>
        <v>0.77692307692307694</v>
      </c>
      <c r="N180">
        <f t="shared" si="57"/>
        <v>0.82307692307692304</v>
      </c>
      <c r="O180">
        <v>47.51</v>
      </c>
      <c r="P180">
        <v>45.65</v>
      </c>
      <c r="Q180">
        <f t="shared" si="58"/>
        <v>46.58</v>
      </c>
      <c r="R180" t="s">
        <v>35</v>
      </c>
      <c r="S180" t="s">
        <v>23</v>
      </c>
      <c r="T180" t="s">
        <v>23</v>
      </c>
      <c r="U180" t="s">
        <v>76</v>
      </c>
      <c r="V180" t="s">
        <v>29</v>
      </c>
    </row>
    <row r="181" spans="1:22" x14ac:dyDescent="0.2">
      <c r="A181" t="s">
        <v>116</v>
      </c>
      <c r="B181" t="s">
        <v>78</v>
      </c>
      <c r="C181">
        <v>47</v>
      </c>
      <c r="D181">
        <v>1.85</v>
      </c>
      <c r="E181">
        <v>0.69</v>
      </c>
      <c r="F181">
        <v>130</v>
      </c>
      <c r="G181">
        <v>1.93</v>
      </c>
      <c r="H181">
        <v>1.03</v>
      </c>
      <c r="I181">
        <f t="shared" ref="I181:I182" si="73">F181/3</f>
        <v>43.333333333333336</v>
      </c>
      <c r="J181">
        <f t="shared" si="72"/>
        <v>1.93</v>
      </c>
      <c r="K181">
        <f>H181/(SQRT(3))</f>
        <v>0.59467077726531459</v>
      </c>
      <c r="L181">
        <f t="shared" si="54"/>
        <v>0.86923076923076925</v>
      </c>
      <c r="M181">
        <f t="shared" si="55"/>
        <v>0.77692307692307694</v>
      </c>
      <c r="N181">
        <f t="shared" si="57"/>
        <v>0.82307692307692304</v>
      </c>
      <c r="O181">
        <v>47.51</v>
      </c>
      <c r="P181">
        <v>45.65</v>
      </c>
      <c r="Q181">
        <f t="shared" si="58"/>
        <v>46.58</v>
      </c>
      <c r="R181" t="s">
        <v>35</v>
      </c>
      <c r="S181" t="s">
        <v>23</v>
      </c>
      <c r="T181" t="s">
        <v>23</v>
      </c>
      <c r="U181" t="s">
        <v>76</v>
      </c>
      <c r="V181" t="s">
        <v>29</v>
      </c>
    </row>
    <row r="182" spans="1:22" x14ac:dyDescent="0.2">
      <c r="A182" t="s">
        <v>116</v>
      </c>
      <c r="B182" t="s">
        <v>78</v>
      </c>
      <c r="C182">
        <v>33</v>
      </c>
      <c r="D182">
        <v>1.74</v>
      </c>
      <c r="E182">
        <v>0.61</v>
      </c>
      <c r="F182">
        <v>130</v>
      </c>
      <c r="G182">
        <v>1.93</v>
      </c>
      <c r="H182">
        <v>1.03</v>
      </c>
      <c r="I182">
        <f t="shared" si="73"/>
        <v>43.333333333333336</v>
      </c>
      <c r="J182">
        <f t="shared" si="72"/>
        <v>1.93</v>
      </c>
      <c r="K182">
        <f>H182/(SQRT(3))</f>
        <v>0.59467077726531459</v>
      </c>
      <c r="L182">
        <f t="shared" si="54"/>
        <v>0.86923076923076925</v>
      </c>
      <c r="M182">
        <f t="shared" si="55"/>
        <v>0.77692307692307694</v>
      </c>
      <c r="N182">
        <f t="shared" si="57"/>
        <v>0.82307692307692304</v>
      </c>
      <c r="O182">
        <v>47.51</v>
      </c>
      <c r="P182">
        <v>45.65</v>
      </c>
      <c r="Q182">
        <f t="shared" si="58"/>
        <v>46.58</v>
      </c>
      <c r="R182" t="s">
        <v>35</v>
      </c>
      <c r="S182" t="s">
        <v>23</v>
      </c>
      <c r="T182" t="s">
        <v>23</v>
      </c>
      <c r="U182" t="s">
        <v>76</v>
      </c>
      <c r="V182" t="s">
        <v>29</v>
      </c>
    </row>
    <row r="183" spans="1:22" x14ac:dyDescent="0.2">
      <c r="A183" t="s">
        <v>116</v>
      </c>
      <c r="B183" t="s">
        <v>118</v>
      </c>
      <c r="C183">
        <v>130</v>
      </c>
      <c r="D183">
        <v>10.42</v>
      </c>
      <c r="E183">
        <v>7.05</v>
      </c>
      <c r="F183">
        <v>130</v>
      </c>
      <c r="G183">
        <v>9.16</v>
      </c>
      <c r="H183">
        <v>3.25</v>
      </c>
      <c r="I183">
        <v>130</v>
      </c>
      <c r="J183">
        <v>9.16</v>
      </c>
      <c r="K183">
        <v>3.25</v>
      </c>
      <c r="L183">
        <f t="shared" si="54"/>
        <v>0.86923076923076925</v>
      </c>
      <c r="M183">
        <f t="shared" si="55"/>
        <v>0.77692307692307694</v>
      </c>
      <c r="N183">
        <f t="shared" si="57"/>
        <v>0.82307692307692304</v>
      </c>
      <c r="O183">
        <v>47.51</v>
      </c>
      <c r="P183">
        <v>45.65</v>
      </c>
      <c r="Q183">
        <f t="shared" si="58"/>
        <v>46.58</v>
      </c>
      <c r="R183" t="s">
        <v>35</v>
      </c>
      <c r="S183" t="s">
        <v>23</v>
      </c>
      <c r="T183" t="s">
        <v>23</v>
      </c>
      <c r="U183" t="s">
        <v>76</v>
      </c>
      <c r="V183" t="s">
        <v>29</v>
      </c>
    </row>
    <row r="184" spans="1:22" x14ac:dyDescent="0.2">
      <c r="A184" t="s">
        <v>116</v>
      </c>
      <c r="B184" t="s">
        <v>118</v>
      </c>
      <c r="C184">
        <v>50</v>
      </c>
      <c r="D184">
        <v>11.21</v>
      </c>
      <c r="E184">
        <v>10.71</v>
      </c>
      <c r="F184">
        <v>130</v>
      </c>
      <c r="G184">
        <v>9.16</v>
      </c>
      <c r="H184">
        <v>3.25</v>
      </c>
      <c r="I184">
        <f>F184/3</f>
        <v>43.333333333333336</v>
      </c>
      <c r="J184">
        <f t="shared" ref="J184:J186" si="74">G184</f>
        <v>9.16</v>
      </c>
      <c r="K184">
        <f>H184/(SQRT(3))</f>
        <v>1.8763883748662837</v>
      </c>
      <c r="L184">
        <f t="shared" si="54"/>
        <v>0.86923076923076925</v>
      </c>
      <c r="M184">
        <f t="shared" si="55"/>
        <v>0.77692307692307694</v>
      </c>
      <c r="N184">
        <f t="shared" si="57"/>
        <v>0.82307692307692304</v>
      </c>
      <c r="O184">
        <v>47.51</v>
      </c>
      <c r="P184">
        <v>45.65</v>
      </c>
      <c r="Q184">
        <f t="shared" si="58"/>
        <v>46.58</v>
      </c>
      <c r="R184" t="s">
        <v>35</v>
      </c>
      <c r="S184" t="s">
        <v>23</v>
      </c>
      <c r="T184" t="s">
        <v>23</v>
      </c>
      <c r="U184" t="s">
        <v>76</v>
      </c>
      <c r="V184" t="s">
        <v>29</v>
      </c>
    </row>
    <row r="185" spans="1:22" x14ac:dyDescent="0.2">
      <c r="A185" t="s">
        <v>116</v>
      </c>
      <c r="B185" t="s">
        <v>118</v>
      </c>
      <c r="C185">
        <v>47</v>
      </c>
      <c r="D185">
        <v>9.99</v>
      </c>
      <c r="E185">
        <v>2.69</v>
      </c>
      <c r="F185">
        <v>130</v>
      </c>
      <c r="G185">
        <v>9.16</v>
      </c>
      <c r="H185">
        <v>3.25</v>
      </c>
      <c r="I185">
        <f t="shared" ref="I185:I186" si="75">F185/3</f>
        <v>43.333333333333336</v>
      </c>
      <c r="J185">
        <f t="shared" si="74"/>
        <v>9.16</v>
      </c>
      <c r="K185">
        <f>H185/(SQRT(3))</f>
        <v>1.8763883748662837</v>
      </c>
      <c r="L185">
        <f t="shared" si="54"/>
        <v>0.86923076923076925</v>
      </c>
      <c r="M185">
        <f t="shared" si="55"/>
        <v>0.77692307692307694</v>
      </c>
      <c r="N185">
        <f t="shared" si="57"/>
        <v>0.82307692307692304</v>
      </c>
      <c r="O185">
        <v>47.51</v>
      </c>
      <c r="P185">
        <v>45.65</v>
      </c>
      <c r="Q185">
        <f t="shared" si="58"/>
        <v>46.58</v>
      </c>
      <c r="R185" t="s">
        <v>35</v>
      </c>
      <c r="S185" t="s">
        <v>23</v>
      </c>
      <c r="T185" t="s">
        <v>23</v>
      </c>
      <c r="U185" t="s">
        <v>76</v>
      </c>
      <c r="V185" t="s">
        <v>29</v>
      </c>
    </row>
    <row r="186" spans="1:22" x14ac:dyDescent="0.2">
      <c r="A186" t="s">
        <v>116</v>
      </c>
      <c r="B186" t="s">
        <v>118</v>
      </c>
      <c r="C186">
        <v>33</v>
      </c>
      <c r="D186">
        <v>9.84</v>
      </c>
      <c r="E186">
        <v>3.54</v>
      </c>
      <c r="F186">
        <v>130</v>
      </c>
      <c r="G186">
        <v>9.16</v>
      </c>
      <c r="H186">
        <v>3.25</v>
      </c>
      <c r="I186">
        <f t="shared" si="75"/>
        <v>43.333333333333336</v>
      </c>
      <c r="J186">
        <f t="shared" si="74"/>
        <v>9.16</v>
      </c>
      <c r="K186">
        <f>H186/(SQRT(3))</f>
        <v>1.8763883748662837</v>
      </c>
      <c r="L186">
        <f t="shared" si="54"/>
        <v>0.86923076923076925</v>
      </c>
      <c r="M186">
        <f t="shared" si="55"/>
        <v>0.77692307692307694</v>
      </c>
      <c r="N186">
        <f t="shared" si="57"/>
        <v>0.82307692307692304</v>
      </c>
      <c r="O186">
        <v>47.51</v>
      </c>
      <c r="P186">
        <v>45.65</v>
      </c>
      <c r="Q186">
        <f t="shared" si="58"/>
        <v>46.58</v>
      </c>
      <c r="R186" t="s">
        <v>35</v>
      </c>
      <c r="S186" t="s">
        <v>23</v>
      </c>
      <c r="T186" t="s">
        <v>23</v>
      </c>
      <c r="U186" t="s">
        <v>76</v>
      </c>
      <c r="V186" t="s">
        <v>29</v>
      </c>
    </row>
    <row r="187" spans="1:22" x14ac:dyDescent="0.2">
      <c r="A187" t="s">
        <v>116</v>
      </c>
      <c r="B187" t="s">
        <v>119</v>
      </c>
      <c r="C187">
        <v>130</v>
      </c>
      <c r="D187">
        <v>6.1</v>
      </c>
      <c r="E187">
        <v>4.95</v>
      </c>
      <c r="F187">
        <v>130</v>
      </c>
      <c r="G187">
        <v>5.25</v>
      </c>
      <c r="H187">
        <v>1.91</v>
      </c>
      <c r="I187">
        <v>130</v>
      </c>
      <c r="J187">
        <v>5.25</v>
      </c>
      <c r="K187">
        <v>1.91</v>
      </c>
      <c r="L187">
        <f t="shared" si="54"/>
        <v>0.86923076923076925</v>
      </c>
      <c r="M187">
        <f t="shared" si="55"/>
        <v>0.77692307692307694</v>
      </c>
      <c r="N187">
        <f t="shared" si="57"/>
        <v>0.82307692307692304</v>
      </c>
      <c r="O187">
        <v>47.51</v>
      </c>
      <c r="P187">
        <v>45.65</v>
      </c>
      <c r="Q187">
        <f t="shared" si="58"/>
        <v>46.58</v>
      </c>
      <c r="R187" t="s">
        <v>35</v>
      </c>
      <c r="S187" t="s">
        <v>23</v>
      </c>
      <c r="T187" t="s">
        <v>23</v>
      </c>
      <c r="U187" t="s">
        <v>76</v>
      </c>
      <c r="V187" t="s">
        <v>29</v>
      </c>
    </row>
    <row r="188" spans="1:22" x14ac:dyDescent="0.2">
      <c r="A188" t="s">
        <v>116</v>
      </c>
      <c r="B188" t="s">
        <v>119</v>
      </c>
      <c r="C188">
        <v>50</v>
      </c>
      <c r="D188">
        <v>6.4</v>
      </c>
      <c r="E188">
        <v>7.59</v>
      </c>
      <c r="F188">
        <v>130</v>
      </c>
      <c r="G188">
        <v>5.25</v>
      </c>
      <c r="H188">
        <v>1.91</v>
      </c>
      <c r="I188">
        <f>F188/3</f>
        <v>43.333333333333336</v>
      </c>
      <c r="J188">
        <f t="shared" ref="J188:J190" si="76">G188</f>
        <v>5.25</v>
      </c>
      <c r="K188">
        <f>H188/(SQRT(3))</f>
        <v>1.1027390141521853</v>
      </c>
      <c r="L188">
        <f t="shared" si="54"/>
        <v>0.86923076923076925</v>
      </c>
      <c r="M188">
        <f t="shared" si="55"/>
        <v>0.77692307692307694</v>
      </c>
      <c r="N188">
        <f t="shared" si="57"/>
        <v>0.82307692307692304</v>
      </c>
      <c r="O188">
        <v>47.51</v>
      </c>
      <c r="P188">
        <v>45.65</v>
      </c>
      <c r="Q188">
        <f t="shared" si="58"/>
        <v>46.58</v>
      </c>
      <c r="R188" t="s">
        <v>35</v>
      </c>
      <c r="S188" t="s">
        <v>23</v>
      </c>
      <c r="T188" t="s">
        <v>23</v>
      </c>
      <c r="U188" t="s">
        <v>76</v>
      </c>
      <c r="V188" t="s">
        <v>29</v>
      </c>
    </row>
    <row r="189" spans="1:22" x14ac:dyDescent="0.2">
      <c r="A189" t="s">
        <v>116</v>
      </c>
      <c r="B189" t="s">
        <v>119</v>
      </c>
      <c r="C189">
        <v>47</v>
      </c>
      <c r="D189">
        <v>5.9</v>
      </c>
      <c r="E189">
        <v>2.1</v>
      </c>
      <c r="F189">
        <v>130</v>
      </c>
      <c r="G189">
        <v>5.25</v>
      </c>
      <c r="H189">
        <v>1.91</v>
      </c>
      <c r="I189">
        <f t="shared" ref="I189:I190" si="77">F189/3</f>
        <v>43.333333333333336</v>
      </c>
      <c r="J189">
        <f t="shared" si="76"/>
        <v>5.25</v>
      </c>
      <c r="K189">
        <f>H189/(SQRT(3))</f>
        <v>1.1027390141521853</v>
      </c>
      <c r="L189">
        <f t="shared" si="54"/>
        <v>0.86923076923076925</v>
      </c>
      <c r="M189">
        <f t="shared" si="55"/>
        <v>0.77692307692307694</v>
      </c>
      <c r="N189">
        <f t="shared" si="57"/>
        <v>0.82307692307692304</v>
      </c>
      <c r="O189">
        <v>47.51</v>
      </c>
      <c r="P189">
        <v>45.65</v>
      </c>
      <c r="Q189">
        <f t="shared" si="58"/>
        <v>46.58</v>
      </c>
      <c r="R189" t="s">
        <v>35</v>
      </c>
      <c r="S189" t="s">
        <v>23</v>
      </c>
      <c r="T189" t="s">
        <v>23</v>
      </c>
      <c r="U189" t="s">
        <v>76</v>
      </c>
      <c r="V189" t="s">
        <v>29</v>
      </c>
    </row>
    <row r="190" spans="1:22" x14ac:dyDescent="0.2">
      <c r="A190" t="s">
        <v>116</v>
      </c>
      <c r="B190" t="s">
        <v>119</v>
      </c>
      <c r="C190">
        <v>33</v>
      </c>
      <c r="D190">
        <v>5.95</v>
      </c>
      <c r="E190">
        <v>2.02</v>
      </c>
      <c r="F190">
        <v>130</v>
      </c>
      <c r="G190">
        <v>5.25</v>
      </c>
      <c r="H190">
        <v>1.91</v>
      </c>
      <c r="I190">
        <f t="shared" si="77"/>
        <v>43.333333333333336</v>
      </c>
      <c r="J190">
        <f t="shared" si="76"/>
        <v>5.25</v>
      </c>
      <c r="K190">
        <f>H190/(SQRT(3))</f>
        <v>1.1027390141521853</v>
      </c>
      <c r="L190">
        <f t="shared" si="54"/>
        <v>0.86923076923076925</v>
      </c>
      <c r="M190">
        <f t="shared" si="55"/>
        <v>0.77692307692307694</v>
      </c>
      <c r="N190">
        <f t="shared" si="57"/>
        <v>0.82307692307692304</v>
      </c>
      <c r="O190">
        <v>47.51</v>
      </c>
      <c r="P190">
        <v>45.65</v>
      </c>
      <c r="Q190">
        <f t="shared" si="58"/>
        <v>46.58</v>
      </c>
      <c r="R190" t="s">
        <v>35</v>
      </c>
      <c r="S190" t="s">
        <v>23</v>
      </c>
      <c r="T190" t="s">
        <v>23</v>
      </c>
      <c r="U190" t="s">
        <v>76</v>
      </c>
      <c r="V190" t="s">
        <v>29</v>
      </c>
    </row>
    <row r="191" spans="1:22" x14ac:dyDescent="0.2">
      <c r="A191" t="s">
        <v>120</v>
      </c>
      <c r="C191">
        <v>155</v>
      </c>
      <c r="F191" t="s">
        <v>24</v>
      </c>
      <c r="I191">
        <v>140</v>
      </c>
      <c r="L191">
        <f>135/155</f>
        <v>0.87096774193548387</v>
      </c>
      <c r="M191">
        <f>106/140</f>
        <v>0.75714285714285712</v>
      </c>
      <c r="N191">
        <f t="shared" si="57"/>
        <v>0.81405529953917055</v>
      </c>
      <c r="O191">
        <v>46.85</v>
      </c>
      <c r="P191">
        <v>46.59</v>
      </c>
      <c r="Q191">
        <f t="shared" si="58"/>
        <v>46.72</v>
      </c>
      <c r="R191" t="s">
        <v>26</v>
      </c>
      <c r="S191">
        <v>3.02</v>
      </c>
      <c r="T191" t="s">
        <v>23</v>
      </c>
      <c r="V191" t="s">
        <v>23</v>
      </c>
    </row>
    <row r="192" spans="1:22" x14ac:dyDescent="0.2">
      <c r="A192" t="s">
        <v>121</v>
      </c>
      <c r="B192" t="s">
        <v>47</v>
      </c>
      <c r="C192">
        <v>48</v>
      </c>
      <c r="D192">
        <v>3.3</v>
      </c>
      <c r="E192">
        <v>1.3</v>
      </c>
      <c r="F192" t="s">
        <v>24</v>
      </c>
      <c r="G192" t="s">
        <v>24</v>
      </c>
      <c r="H192" t="s">
        <v>24</v>
      </c>
      <c r="I192">
        <v>72</v>
      </c>
      <c r="J192">
        <v>2.9</v>
      </c>
      <c r="K192">
        <v>1</v>
      </c>
      <c r="L192">
        <f>40/48</f>
        <v>0.83333333333333337</v>
      </c>
      <c r="M192">
        <f>35/72</f>
        <v>0.4861111111111111</v>
      </c>
      <c r="N192">
        <f t="shared" si="57"/>
        <v>0.65972222222222221</v>
      </c>
      <c r="O192">
        <v>70.64</v>
      </c>
      <c r="P192">
        <v>68.87</v>
      </c>
      <c r="Q192">
        <f t="shared" si="58"/>
        <v>69.754999999999995</v>
      </c>
      <c r="R192" t="s">
        <v>35</v>
      </c>
      <c r="S192" t="s">
        <v>23</v>
      </c>
      <c r="T192" t="s">
        <v>23</v>
      </c>
      <c r="U192" t="s">
        <v>23</v>
      </c>
      <c r="V192" t="s">
        <v>23</v>
      </c>
    </row>
    <row r="193" spans="1:22" x14ac:dyDescent="0.2">
      <c r="A193" t="s">
        <v>121</v>
      </c>
      <c r="B193" t="s">
        <v>122</v>
      </c>
      <c r="C193">
        <v>48</v>
      </c>
      <c r="D193">
        <v>19.440000000000001</v>
      </c>
      <c r="E193">
        <v>8.61</v>
      </c>
      <c r="F193" t="s">
        <v>24</v>
      </c>
      <c r="G193" t="s">
        <v>24</v>
      </c>
      <c r="H193" t="s">
        <v>24</v>
      </c>
      <c r="I193">
        <v>72</v>
      </c>
      <c r="J193">
        <v>17.579999999999998</v>
      </c>
      <c r="K193">
        <v>7.71</v>
      </c>
      <c r="L193">
        <f>40/48</f>
        <v>0.83333333333333337</v>
      </c>
      <c r="M193">
        <f>35/72</f>
        <v>0.4861111111111111</v>
      </c>
      <c r="N193">
        <f t="shared" si="57"/>
        <v>0.65972222222222221</v>
      </c>
      <c r="O193">
        <v>70.64</v>
      </c>
      <c r="P193">
        <v>68.87</v>
      </c>
      <c r="Q193">
        <f t="shared" si="58"/>
        <v>69.754999999999995</v>
      </c>
      <c r="R193" t="s">
        <v>35</v>
      </c>
      <c r="S193" t="s">
        <v>23</v>
      </c>
      <c r="T193" t="s">
        <v>23</v>
      </c>
      <c r="U193" t="s">
        <v>23</v>
      </c>
      <c r="V193" t="s">
        <v>23</v>
      </c>
    </row>
    <row r="194" spans="1:22" x14ac:dyDescent="0.2">
      <c r="A194" t="s">
        <v>121</v>
      </c>
      <c r="B194" t="s">
        <v>100</v>
      </c>
      <c r="C194">
        <v>48</v>
      </c>
      <c r="D194">
        <v>8.9700000000000006</v>
      </c>
      <c r="E194">
        <v>2.78</v>
      </c>
      <c r="F194" t="s">
        <v>24</v>
      </c>
      <c r="G194" t="s">
        <v>24</v>
      </c>
      <c r="H194" t="s">
        <v>24</v>
      </c>
      <c r="I194">
        <v>72</v>
      </c>
      <c r="J194">
        <v>8.1999999999999993</v>
      </c>
      <c r="K194">
        <v>1.87</v>
      </c>
      <c r="L194">
        <f>40/48</f>
        <v>0.83333333333333337</v>
      </c>
      <c r="M194">
        <f>35/72</f>
        <v>0.4861111111111111</v>
      </c>
      <c r="N194">
        <f t="shared" si="57"/>
        <v>0.65972222222222221</v>
      </c>
      <c r="O194">
        <v>70.64</v>
      </c>
      <c r="P194">
        <v>68.87</v>
      </c>
      <c r="Q194">
        <f t="shared" si="58"/>
        <v>69.754999999999995</v>
      </c>
      <c r="R194" t="s">
        <v>35</v>
      </c>
      <c r="S194" t="s">
        <v>23</v>
      </c>
      <c r="T194" t="s">
        <v>23</v>
      </c>
      <c r="U194" t="s">
        <v>23</v>
      </c>
      <c r="V194" t="s">
        <v>23</v>
      </c>
    </row>
    <row r="195" spans="1:22" x14ac:dyDescent="0.2">
      <c r="A195" t="s">
        <v>121</v>
      </c>
      <c r="B195" t="s">
        <v>73</v>
      </c>
      <c r="C195">
        <v>48</v>
      </c>
      <c r="D195">
        <v>267.45</v>
      </c>
      <c r="E195">
        <v>76.03</v>
      </c>
      <c r="F195" t="s">
        <v>24</v>
      </c>
      <c r="G195" t="s">
        <v>24</v>
      </c>
      <c r="H195" t="s">
        <v>24</v>
      </c>
      <c r="I195">
        <v>72</v>
      </c>
      <c r="J195">
        <v>285.39</v>
      </c>
      <c r="K195">
        <v>74.2</v>
      </c>
      <c r="L195">
        <f>40/48</f>
        <v>0.83333333333333337</v>
      </c>
      <c r="M195">
        <f>35/72</f>
        <v>0.4861111111111111</v>
      </c>
      <c r="N195">
        <f t="shared" si="57"/>
        <v>0.65972222222222221</v>
      </c>
      <c r="O195">
        <v>70.64</v>
      </c>
      <c r="P195">
        <v>68.87</v>
      </c>
      <c r="Q195">
        <f t="shared" si="58"/>
        <v>69.754999999999995</v>
      </c>
      <c r="R195" t="s">
        <v>35</v>
      </c>
      <c r="S195" t="s">
        <v>23</v>
      </c>
      <c r="T195" t="s">
        <v>23</v>
      </c>
      <c r="U195" t="s">
        <v>23</v>
      </c>
      <c r="V195" t="s">
        <v>23</v>
      </c>
    </row>
    <row r="196" spans="1:22" x14ac:dyDescent="0.2">
      <c r="A196" t="s">
        <v>123</v>
      </c>
      <c r="B196" t="s">
        <v>124</v>
      </c>
      <c r="C196">
        <v>71</v>
      </c>
      <c r="D196">
        <v>3.97</v>
      </c>
      <c r="E196">
        <v>0.38</v>
      </c>
      <c r="F196" t="s">
        <v>24</v>
      </c>
      <c r="G196" t="s">
        <v>24</v>
      </c>
      <c r="H196" t="s">
        <v>24</v>
      </c>
      <c r="I196">
        <v>68</v>
      </c>
      <c r="J196">
        <v>3.24</v>
      </c>
      <c r="K196">
        <v>0.28000000000000003</v>
      </c>
      <c r="L196">
        <f t="shared" ref="L196:L197" si="78">56/71</f>
        <v>0.78873239436619713</v>
      </c>
      <c r="M196">
        <f t="shared" ref="M196:M197" si="79">54/68</f>
        <v>0.79411764705882348</v>
      </c>
      <c r="N196">
        <f t="shared" si="57"/>
        <v>0.79142502071251031</v>
      </c>
      <c r="O196">
        <v>59</v>
      </c>
      <c r="P196">
        <v>55</v>
      </c>
      <c r="Q196">
        <f t="shared" si="58"/>
        <v>57</v>
      </c>
      <c r="R196" t="s">
        <v>26</v>
      </c>
      <c r="S196" t="s">
        <v>23</v>
      </c>
      <c r="T196" t="s">
        <v>23</v>
      </c>
      <c r="U196" t="s">
        <v>125</v>
      </c>
      <c r="V196" t="s">
        <v>29</v>
      </c>
    </row>
    <row r="197" spans="1:22" x14ac:dyDescent="0.2">
      <c r="A197" t="s">
        <v>123</v>
      </c>
      <c r="B197" t="s">
        <v>122</v>
      </c>
      <c r="C197">
        <v>71</v>
      </c>
      <c r="D197">
        <v>14.2</v>
      </c>
      <c r="E197">
        <v>3.95</v>
      </c>
      <c r="F197" t="s">
        <v>24</v>
      </c>
      <c r="G197" t="s">
        <v>24</v>
      </c>
      <c r="H197" t="s">
        <v>24</v>
      </c>
      <c r="I197">
        <v>68</v>
      </c>
      <c r="J197">
        <v>9.08</v>
      </c>
      <c r="K197">
        <v>2.4700000000000002</v>
      </c>
      <c r="L197">
        <f t="shared" si="78"/>
        <v>0.78873239436619713</v>
      </c>
      <c r="M197">
        <f t="shared" si="79"/>
        <v>0.79411764705882348</v>
      </c>
      <c r="N197">
        <f t="shared" si="57"/>
        <v>0.79142502071251031</v>
      </c>
      <c r="O197">
        <v>59</v>
      </c>
      <c r="P197">
        <v>55</v>
      </c>
      <c r="Q197">
        <f t="shared" si="58"/>
        <v>57</v>
      </c>
      <c r="R197" t="s">
        <v>26</v>
      </c>
      <c r="S197" t="s">
        <v>23</v>
      </c>
      <c r="T197" t="s">
        <v>23</v>
      </c>
      <c r="U197" t="s">
        <v>126</v>
      </c>
      <c r="V197" t="s">
        <v>29</v>
      </c>
    </row>
    <row r="198" spans="1:22" x14ac:dyDescent="0.2">
      <c r="A198" t="s">
        <v>127</v>
      </c>
      <c r="B198" t="s">
        <v>128</v>
      </c>
      <c r="C198">
        <v>114</v>
      </c>
      <c r="D198">
        <v>187.21</v>
      </c>
      <c r="E198">
        <v>37.89</v>
      </c>
      <c r="F198">
        <v>74</v>
      </c>
      <c r="G198">
        <v>187.55</v>
      </c>
      <c r="H198">
        <v>34.04</v>
      </c>
      <c r="I198">
        <v>74</v>
      </c>
      <c r="J198">
        <f>G198</f>
        <v>187.55</v>
      </c>
      <c r="K198">
        <f>H198</f>
        <v>34.04</v>
      </c>
      <c r="L198">
        <f t="shared" ref="L198:L213" si="80">91/114</f>
        <v>0.79824561403508776</v>
      </c>
      <c r="M198">
        <f t="shared" ref="M198:M213" si="81">56/74</f>
        <v>0.7567567567567568</v>
      </c>
      <c r="N198">
        <f t="shared" si="57"/>
        <v>0.77750118539592228</v>
      </c>
      <c r="O198">
        <v>56.04</v>
      </c>
      <c r="P198">
        <v>51.72</v>
      </c>
      <c r="Q198">
        <f t="shared" si="58"/>
        <v>53.879999999999995</v>
      </c>
      <c r="R198" t="s">
        <v>35</v>
      </c>
      <c r="S198" t="s">
        <v>23</v>
      </c>
      <c r="T198" t="s">
        <v>23</v>
      </c>
      <c r="U198" t="s">
        <v>23</v>
      </c>
      <c r="V198" t="s">
        <v>29</v>
      </c>
    </row>
    <row r="199" spans="1:22" x14ac:dyDescent="0.2">
      <c r="A199" t="s">
        <v>127</v>
      </c>
      <c r="B199" t="s">
        <v>128</v>
      </c>
      <c r="C199">
        <v>42</v>
      </c>
      <c r="D199">
        <v>184.43</v>
      </c>
      <c r="E199">
        <v>39.74</v>
      </c>
      <c r="F199">
        <v>74</v>
      </c>
      <c r="G199">
        <v>187.55</v>
      </c>
      <c r="H199">
        <v>34.04</v>
      </c>
      <c r="I199">
        <f>74/3</f>
        <v>24.666666666666668</v>
      </c>
      <c r="J199">
        <f t="shared" ref="J199:J213" si="82">G199</f>
        <v>187.55</v>
      </c>
      <c r="K199">
        <f>H199/(SQRT(3))</f>
        <v>19.653003163214862</v>
      </c>
      <c r="L199">
        <f t="shared" si="80"/>
        <v>0.79824561403508776</v>
      </c>
      <c r="M199">
        <f t="shared" si="81"/>
        <v>0.7567567567567568</v>
      </c>
      <c r="N199">
        <f t="shared" si="57"/>
        <v>0.77750118539592228</v>
      </c>
      <c r="O199">
        <v>56.04</v>
      </c>
      <c r="P199">
        <v>51.72</v>
      </c>
      <c r="Q199">
        <f t="shared" si="58"/>
        <v>53.879999999999995</v>
      </c>
      <c r="R199" t="s">
        <v>35</v>
      </c>
      <c r="S199" t="s">
        <v>23</v>
      </c>
      <c r="T199" t="s">
        <v>23</v>
      </c>
      <c r="U199" t="s">
        <v>23</v>
      </c>
      <c r="V199" t="s">
        <v>29</v>
      </c>
    </row>
    <row r="200" spans="1:22" x14ac:dyDescent="0.2">
      <c r="A200" t="s">
        <v>127</v>
      </c>
      <c r="B200" t="s">
        <v>128</v>
      </c>
      <c r="C200">
        <v>45</v>
      </c>
      <c r="D200">
        <v>189.33</v>
      </c>
      <c r="E200">
        <v>37.9</v>
      </c>
      <c r="F200">
        <v>74</v>
      </c>
      <c r="G200">
        <v>187.55</v>
      </c>
      <c r="H200">
        <v>34.04</v>
      </c>
      <c r="I200">
        <f>74/3</f>
        <v>24.666666666666668</v>
      </c>
      <c r="J200">
        <f t="shared" si="82"/>
        <v>187.55</v>
      </c>
      <c r="K200">
        <f>H200/(SQRT(3))</f>
        <v>19.653003163214862</v>
      </c>
      <c r="L200">
        <f t="shared" si="80"/>
        <v>0.79824561403508776</v>
      </c>
      <c r="M200">
        <f t="shared" si="81"/>
        <v>0.7567567567567568</v>
      </c>
      <c r="N200">
        <f t="shared" si="57"/>
        <v>0.77750118539592228</v>
      </c>
      <c r="O200">
        <v>56.04</v>
      </c>
      <c r="P200">
        <v>51.72</v>
      </c>
      <c r="Q200">
        <f t="shared" si="58"/>
        <v>53.879999999999995</v>
      </c>
      <c r="R200" t="s">
        <v>35</v>
      </c>
      <c r="S200" t="s">
        <v>23</v>
      </c>
      <c r="T200" t="s">
        <v>23</v>
      </c>
      <c r="U200" t="s">
        <v>23</v>
      </c>
      <c r="V200" t="s">
        <v>29</v>
      </c>
    </row>
    <row r="201" spans="1:22" x14ac:dyDescent="0.2">
      <c r="A201" t="s">
        <v>127</v>
      </c>
      <c r="B201" t="s">
        <v>128</v>
      </c>
      <c r="C201">
        <v>27</v>
      </c>
      <c r="D201">
        <v>188</v>
      </c>
      <c r="E201">
        <v>36.03</v>
      </c>
      <c r="F201">
        <v>74</v>
      </c>
      <c r="G201">
        <v>187.55</v>
      </c>
      <c r="H201">
        <v>34.04</v>
      </c>
      <c r="I201">
        <f>74/3</f>
        <v>24.666666666666668</v>
      </c>
      <c r="J201">
        <f t="shared" si="82"/>
        <v>187.55</v>
      </c>
      <c r="K201">
        <f>H201/(SQRT(3))</f>
        <v>19.653003163214862</v>
      </c>
      <c r="L201">
        <f t="shared" si="80"/>
        <v>0.79824561403508776</v>
      </c>
      <c r="M201">
        <f t="shared" si="81"/>
        <v>0.7567567567567568</v>
      </c>
      <c r="N201">
        <f t="shared" si="57"/>
        <v>0.77750118539592228</v>
      </c>
      <c r="O201">
        <v>56.04</v>
      </c>
      <c r="P201">
        <v>51.72</v>
      </c>
      <c r="Q201">
        <f t="shared" si="58"/>
        <v>53.879999999999995</v>
      </c>
      <c r="R201" t="s">
        <v>35</v>
      </c>
      <c r="S201" t="s">
        <v>23</v>
      </c>
      <c r="T201" t="s">
        <v>23</v>
      </c>
      <c r="U201" t="s">
        <v>23</v>
      </c>
      <c r="V201" t="s">
        <v>29</v>
      </c>
    </row>
    <row r="202" spans="1:22" x14ac:dyDescent="0.2">
      <c r="A202" t="s">
        <v>127</v>
      </c>
      <c r="B202" t="s">
        <v>103</v>
      </c>
      <c r="C202">
        <v>114</v>
      </c>
      <c r="D202">
        <v>132.87</v>
      </c>
      <c r="E202">
        <v>64.2</v>
      </c>
      <c r="F202">
        <v>74</v>
      </c>
      <c r="G202">
        <v>99.42</v>
      </c>
      <c r="H202">
        <v>52.35</v>
      </c>
      <c r="I202">
        <v>74</v>
      </c>
      <c r="J202">
        <f t="shared" si="82"/>
        <v>99.42</v>
      </c>
      <c r="K202">
        <f>H202</f>
        <v>52.35</v>
      </c>
      <c r="L202">
        <f t="shared" si="80"/>
        <v>0.79824561403508776</v>
      </c>
      <c r="M202">
        <f t="shared" si="81"/>
        <v>0.7567567567567568</v>
      </c>
      <c r="N202">
        <f t="shared" si="57"/>
        <v>0.77750118539592228</v>
      </c>
      <c r="O202">
        <v>56.04</v>
      </c>
      <c r="P202">
        <v>51.72</v>
      </c>
      <c r="Q202">
        <f t="shared" si="58"/>
        <v>53.879999999999995</v>
      </c>
      <c r="R202" t="s">
        <v>35</v>
      </c>
      <c r="S202" t="s">
        <v>23</v>
      </c>
      <c r="T202" t="s">
        <v>23</v>
      </c>
      <c r="U202" t="s">
        <v>23</v>
      </c>
      <c r="V202" t="s">
        <v>29</v>
      </c>
    </row>
    <row r="203" spans="1:22" x14ac:dyDescent="0.2">
      <c r="A203" t="s">
        <v>127</v>
      </c>
      <c r="B203" t="s">
        <v>103</v>
      </c>
      <c r="C203">
        <v>42</v>
      </c>
      <c r="D203">
        <v>108.98</v>
      </c>
      <c r="E203">
        <v>49.59</v>
      </c>
      <c r="F203">
        <v>74</v>
      </c>
      <c r="G203">
        <v>99.42</v>
      </c>
      <c r="H203">
        <v>52.35</v>
      </c>
      <c r="I203">
        <f>74/3</f>
        <v>24.666666666666668</v>
      </c>
      <c r="J203">
        <f t="shared" si="82"/>
        <v>99.42</v>
      </c>
      <c r="K203">
        <f>H203/(SQRT(3))</f>
        <v>30.224286592076911</v>
      </c>
      <c r="L203">
        <f t="shared" si="80"/>
        <v>0.79824561403508776</v>
      </c>
      <c r="M203">
        <f t="shared" si="81"/>
        <v>0.7567567567567568</v>
      </c>
      <c r="N203">
        <f t="shared" si="57"/>
        <v>0.77750118539592228</v>
      </c>
      <c r="O203">
        <v>56.04</v>
      </c>
      <c r="P203">
        <v>51.72</v>
      </c>
      <c r="Q203">
        <f t="shared" si="58"/>
        <v>53.879999999999995</v>
      </c>
      <c r="R203" t="s">
        <v>35</v>
      </c>
      <c r="S203" t="s">
        <v>23</v>
      </c>
      <c r="T203" t="s">
        <v>23</v>
      </c>
      <c r="U203" t="s">
        <v>23</v>
      </c>
      <c r="V203" t="s">
        <v>29</v>
      </c>
    </row>
    <row r="204" spans="1:22" x14ac:dyDescent="0.2">
      <c r="A204" t="s">
        <v>127</v>
      </c>
      <c r="B204" t="s">
        <v>103</v>
      </c>
      <c r="C204">
        <v>45</v>
      </c>
      <c r="D204">
        <v>146</v>
      </c>
      <c r="E204">
        <v>69.56</v>
      </c>
      <c r="F204">
        <v>74</v>
      </c>
      <c r="G204">
        <v>99.42</v>
      </c>
      <c r="H204">
        <v>52.35</v>
      </c>
      <c r="I204">
        <f>74/3</f>
        <v>24.666666666666668</v>
      </c>
      <c r="J204">
        <f t="shared" si="82"/>
        <v>99.42</v>
      </c>
      <c r="K204">
        <f>H204/(SQRT(3))</f>
        <v>30.224286592076911</v>
      </c>
      <c r="L204">
        <f t="shared" si="80"/>
        <v>0.79824561403508776</v>
      </c>
      <c r="M204">
        <f t="shared" si="81"/>
        <v>0.7567567567567568</v>
      </c>
      <c r="N204">
        <f t="shared" si="57"/>
        <v>0.77750118539592228</v>
      </c>
      <c r="O204">
        <v>56.04</v>
      </c>
      <c r="P204">
        <v>51.72</v>
      </c>
      <c r="Q204">
        <f t="shared" si="58"/>
        <v>53.879999999999995</v>
      </c>
      <c r="R204" t="s">
        <v>35</v>
      </c>
      <c r="S204" t="s">
        <v>23</v>
      </c>
      <c r="T204" t="s">
        <v>23</v>
      </c>
      <c r="U204" t="s">
        <v>23</v>
      </c>
      <c r="V204" t="s">
        <v>29</v>
      </c>
    </row>
    <row r="205" spans="1:22" x14ac:dyDescent="0.2">
      <c r="A205" t="s">
        <v>127</v>
      </c>
      <c r="B205" t="s">
        <v>103</v>
      </c>
      <c r="C205">
        <v>27</v>
      </c>
      <c r="D205">
        <v>148.15</v>
      </c>
      <c r="E205">
        <v>66.23</v>
      </c>
      <c r="F205">
        <v>74</v>
      </c>
      <c r="G205">
        <v>99.42</v>
      </c>
      <c r="H205">
        <v>52.35</v>
      </c>
      <c r="I205">
        <f>74/3</f>
        <v>24.666666666666668</v>
      </c>
      <c r="J205">
        <f t="shared" si="82"/>
        <v>99.42</v>
      </c>
      <c r="K205">
        <f>H205/(SQRT(3))</f>
        <v>30.224286592076911</v>
      </c>
      <c r="L205">
        <f t="shared" si="80"/>
        <v>0.79824561403508776</v>
      </c>
      <c r="M205">
        <f t="shared" si="81"/>
        <v>0.7567567567567568</v>
      </c>
      <c r="N205">
        <f t="shared" si="57"/>
        <v>0.77750118539592228</v>
      </c>
      <c r="O205">
        <v>56.04</v>
      </c>
      <c r="P205">
        <v>51.72</v>
      </c>
      <c r="Q205">
        <f t="shared" si="58"/>
        <v>53.879999999999995</v>
      </c>
      <c r="R205" t="s">
        <v>35</v>
      </c>
      <c r="S205" t="s">
        <v>23</v>
      </c>
      <c r="T205" t="s">
        <v>23</v>
      </c>
      <c r="U205" t="s">
        <v>23</v>
      </c>
      <c r="V205" t="s">
        <v>29</v>
      </c>
    </row>
    <row r="206" spans="1:22" x14ac:dyDescent="0.2">
      <c r="A206" t="s">
        <v>127</v>
      </c>
      <c r="B206" t="s">
        <v>104</v>
      </c>
      <c r="C206">
        <v>114</v>
      </c>
      <c r="D206">
        <v>51.88</v>
      </c>
      <c r="E206">
        <v>11.98</v>
      </c>
      <c r="F206">
        <v>74</v>
      </c>
      <c r="G206">
        <v>53.62</v>
      </c>
      <c r="H206">
        <v>11.74</v>
      </c>
      <c r="I206">
        <v>74</v>
      </c>
      <c r="J206">
        <f t="shared" si="82"/>
        <v>53.62</v>
      </c>
      <c r="K206">
        <f>H206</f>
        <v>11.74</v>
      </c>
      <c r="L206">
        <f t="shared" si="80"/>
        <v>0.79824561403508776</v>
      </c>
      <c r="M206">
        <f t="shared" si="81"/>
        <v>0.7567567567567568</v>
      </c>
      <c r="N206">
        <f t="shared" si="57"/>
        <v>0.77750118539592228</v>
      </c>
      <c r="O206">
        <v>56.04</v>
      </c>
      <c r="P206">
        <v>51.72</v>
      </c>
      <c r="Q206">
        <f t="shared" si="58"/>
        <v>53.879999999999995</v>
      </c>
      <c r="R206" t="s">
        <v>35</v>
      </c>
      <c r="S206" t="s">
        <v>23</v>
      </c>
      <c r="T206" t="s">
        <v>23</v>
      </c>
      <c r="U206" t="s">
        <v>23</v>
      </c>
      <c r="V206" t="s">
        <v>29</v>
      </c>
    </row>
    <row r="207" spans="1:22" x14ac:dyDescent="0.2">
      <c r="A207" t="s">
        <v>127</v>
      </c>
      <c r="B207" t="s">
        <v>104</v>
      </c>
      <c r="C207">
        <v>42</v>
      </c>
      <c r="D207">
        <v>51.48</v>
      </c>
      <c r="E207">
        <v>11.31</v>
      </c>
      <c r="F207">
        <v>74</v>
      </c>
      <c r="G207">
        <v>53.62</v>
      </c>
      <c r="H207">
        <v>11.74</v>
      </c>
      <c r="I207">
        <f>74/3</f>
        <v>24.666666666666668</v>
      </c>
      <c r="J207">
        <f t="shared" si="82"/>
        <v>53.62</v>
      </c>
      <c r="K207">
        <f>H207/(SQRT(3))</f>
        <v>6.7780921602862074</v>
      </c>
      <c r="L207">
        <f t="shared" si="80"/>
        <v>0.79824561403508776</v>
      </c>
      <c r="M207">
        <f t="shared" si="81"/>
        <v>0.7567567567567568</v>
      </c>
      <c r="N207">
        <f t="shared" si="57"/>
        <v>0.77750118539592228</v>
      </c>
      <c r="O207">
        <v>56.04</v>
      </c>
      <c r="P207">
        <v>51.72</v>
      </c>
      <c r="Q207">
        <f t="shared" si="58"/>
        <v>53.879999999999995</v>
      </c>
      <c r="R207" t="s">
        <v>35</v>
      </c>
      <c r="S207" t="s">
        <v>23</v>
      </c>
      <c r="T207" t="s">
        <v>23</v>
      </c>
      <c r="U207" t="s">
        <v>23</v>
      </c>
      <c r="V207" t="s">
        <v>29</v>
      </c>
    </row>
    <row r="208" spans="1:22" x14ac:dyDescent="0.2">
      <c r="A208" t="s">
        <v>127</v>
      </c>
      <c r="B208" t="s">
        <v>104</v>
      </c>
      <c r="C208">
        <v>45</v>
      </c>
      <c r="D208">
        <v>52.4</v>
      </c>
      <c r="E208">
        <v>13.01</v>
      </c>
      <c r="F208">
        <v>74</v>
      </c>
      <c r="G208">
        <v>53.62</v>
      </c>
      <c r="H208">
        <v>11.74</v>
      </c>
      <c r="I208">
        <f>74/3</f>
        <v>24.666666666666668</v>
      </c>
      <c r="J208">
        <f t="shared" si="82"/>
        <v>53.62</v>
      </c>
      <c r="K208">
        <f>H208/(SQRT(3))</f>
        <v>6.7780921602862074</v>
      </c>
      <c r="L208">
        <f t="shared" si="80"/>
        <v>0.79824561403508776</v>
      </c>
      <c r="M208">
        <f t="shared" si="81"/>
        <v>0.7567567567567568</v>
      </c>
      <c r="N208">
        <f t="shared" si="57"/>
        <v>0.77750118539592228</v>
      </c>
      <c r="O208">
        <v>56.04</v>
      </c>
      <c r="P208">
        <v>51.72</v>
      </c>
      <c r="Q208">
        <f t="shared" si="58"/>
        <v>53.879999999999995</v>
      </c>
      <c r="R208" t="s">
        <v>35</v>
      </c>
      <c r="S208" t="s">
        <v>23</v>
      </c>
      <c r="T208" t="s">
        <v>23</v>
      </c>
      <c r="U208" t="s">
        <v>23</v>
      </c>
      <c r="V208" t="s">
        <v>29</v>
      </c>
    </row>
    <row r="209" spans="1:22" x14ac:dyDescent="0.2">
      <c r="A209" t="s">
        <v>127</v>
      </c>
      <c r="B209" t="s">
        <v>104</v>
      </c>
      <c r="C209">
        <v>27</v>
      </c>
      <c r="D209">
        <v>51.63</v>
      </c>
      <c r="E209">
        <v>11.59</v>
      </c>
      <c r="F209">
        <v>74</v>
      </c>
      <c r="G209">
        <v>53.62</v>
      </c>
      <c r="H209">
        <v>11.74</v>
      </c>
      <c r="I209">
        <f>74/3</f>
        <v>24.666666666666668</v>
      </c>
      <c r="J209">
        <f t="shared" si="82"/>
        <v>53.62</v>
      </c>
      <c r="K209">
        <f>H209/(SQRT(3))</f>
        <v>6.7780921602862074</v>
      </c>
      <c r="L209">
        <f t="shared" si="80"/>
        <v>0.79824561403508776</v>
      </c>
      <c r="M209">
        <f t="shared" si="81"/>
        <v>0.7567567567567568</v>
      </c>
      <c r="N209">
        <f t="shared" si="57"/>
        <v>0.77750118539592228</v>
      </c>
      <c r="O209">
        <v>56.04</v>
      </c>
      <c r="P209">
        <v>51.72</v>
      </c>
      <c r="Q209">
        <f t="shared" si="58"/>
        <v>53.879999999999995</v>
      </c>
      <c r="R209" t="s">
        <v>35</v>
      </c>
      <c r="S209" t="s">
        <v>23</v>
      </c>
      <c r="T209" t="s">
        <v>23</v>
      </c>
      <c r="U209" t="s">
        <v>23</v>
      </c>
      <c r="V209" t="s">
        <v>29</v>
      </c>
    </row>
    <row r="210" spans="1:22" x14ac:dyDescent="0.2">
      <c r="A210" t="s">
        <v>127</v>
      </c>
      <c r="B210" t="s">
        <v>105</v>
      </c>
      <c r="C210">
        <v>114</v>
      </c>
      <c r="D210">
        <v>108.8</v>
      </c>
      <c r="E210">
        <v>33.869999999999997</v>
      </c>
      <c r="F210">
        <v>74</v>
      </c>
      <c r="G210">
        <v>114.05</v>
      </c>
      <c r="H210">
        <v>29.42</v>
      </c>
      <c r="I210">
        <v>74</v>
      </c>
      <c r="J210">
        <f t="shared" si="82"/>
        <v>114.05</v>
      </c>
      <c r="K210">
        <f>H210</f>
        <v>29.42</v>
      </c>
      <c r="L210">
        <f t="shared" si="80"/>
        <v>0.79824561403508776</v>
      </c>
      <c r="M210">
        <f t="shared" si="81"/>
        <v>0.7567567567567568</v>
      </c>
      <c r="N210">
        <f t="shared" si="57"/>
        <v>0.77750118539592228</v>
      </c>
      <c r="O210">
        <v>56.04</v>
      </c>
      <c r="P210">
        <v>51.72</v>
      </c>
      <c r="Q210">
        <f t="shared" si="58"/>
        <v>53.879999999999995</v>
      </c>
      <c r="R210" t="s">
        <v>35</v>
      </c>
      <c r="S210" t="s">
        <v>23</v>
      </c>
      <c r="T210" t="s">
        <v>23</v>
      </c>
      <c r="U210" t="s">
        <v>23</v>
      </c>
      <c r="V210" t="s">
        <v>29</v>
      </c>
    </row>
    <row r="211" spans="1:22" x14ac:dyDescent="0.2">
      <c r="A211" t="s">
        <v>127</v>
      </c>
      <c r="B211" t="s">
        <v>105</v>
      </c>
      <c r="C211">
        <v>42</v>
      </c>
      <c r="D211">
        <v>111.21</v>
      </c>
      <c r="E211">
        <v>32.44</v>
      </c>
      <c r="F211">
        <v>74</v>
      </c>
      <c r="G211">
        <v>114.05</v>
      </c>
      <c r="H211">
        <v>29.42</v>
      </c>
      <c r="I211">
        <f>74/3</f>
        <v>24.666666666666668</v>
      </c>
      <c r="J211">
        <f t="shared" si="82"/>
        <v>114.05</v>
      </c>
      <c r="K211">
        <f>H211/(SQRT(3))</f>
        <v>16.985644919558791</v>
      </c>
      <c r="L211">
        <f t="shared" si="80"/>
        <v>0.79824561403508776</v>
      </c>
      <c r="M211">
        <f t="shared" si="81"/>
        <v>0.7567567567567568</v>
      </c>
      <c r="N211">
        <f t="shared" si="57"/>
        <v>0.77750118539592228</v>
      </c>
      <c r="O211">
        <v>56.04</v>
      </c>
      <c r="P211">
        <v>51.72</v>
      </c>
      <c r="Q211">
        <f t="shared" si="58"/>
        <v>53.879999999999995</v>
      </c>
      <c r="R211" t="s">
        <v>35</v>
      </c>
      <c r="S211" t="s">
        <v>23</v>
      </c>
      <c r="T211" t="s">
        <v>23</v>
      </c>
      <c r="U211" t="s">
        <v>23</v>
      </c>
      <c r="V211" t="s">
        <v>29</v>
      </c>
    </row>
    <row r="212" spans="1:22" x14ac:dyDescent="0.2">
      <c r="A212" t="s">
        <v>127</v>
      </c>
      <c r="B212" t="s">
        <v>105</v>
      </c>
      <c r="C212">
        <v>45</v>
      </c>
      <c r="D212">
        <v>107.68</v>
      </c>
      <c r="E212">
        <v>34.68</v>
      </c>
      <c r="F212">
        <v>74</v>
      </c>
      <c r="G212">
        <v>114.05</v>
      </c>
      <c r="H212">
        <v>29.42</v>
      </c>
      <c r="I212">
        <f>74/3</f>
        <v>24.666666666666668</v>
      </c>
      <c r="J212">
        <f t="shared" si="82"/>
        <v>114.05</v>
      </c>
      <c r="K212">
        <f>H212/(SQRT(3))</f>
        <v>16.985644919558791</v>
      </c>
      <c r="L212">
        <f t="shared" si="80"/>
        <v>0.79824561403508776</v>
      </c>
      <c r="M212">
        <f t="shared" si="81"/>
        <v>0.7567567567567568</v>
      </c>
      <c r="N212">
        <f t="shared" si="57"/>
        <v>0.77750118539592228</v>
      </c>
      <c r="O212">
        <v>56.04</v>
      </c>
      <c r="P212">
        <v>51.72</v>
      </c>
      <c r="Q212">
        <f t="shared" si="58"/>
        <v>53.879999999999995</v>
      </c>
      <c r="R212" t="s">
        <v>35</v>
      </c>
      <c r="S212" t="s">
        <v>23</v>
      </c>
      <c r="T212" t="s">
        <v>23</v>
      </c>
      <c r="U212" t="s">
        <v>23</v>
      </c>
      <c r="V212" t="s">
        <v>29</v>
      </c>
    </row>
    <row r="213" spans="1:22" x14ac:dyDescent="0.2">
      <c r="A213" t="s">
        <v>127</v>
      </c>
      <c r="B213" t="s">
        <v>105</v>
      </c>
      <c r="C213">
        <v>27</v>
      </c>
      <c r="D213">
        <v>106.91</v>
      </c>
      <c r="E213">
        <v>35.700000000000003</v>
      </c>
      <c r="F213">
        <v>74</v>
      </c>
      <c r="G213">
        <v>114.05</v>
      </c>
      <c r="H213">
        <v>29.42</v>
      </c>
      <c r="I213">
        <f>74/3</f>
        <v>24.666666666666668</v>
      </c>
      <c r="J213">
        <f t="shared" si="82"/>
        <v>114.05</v>
      </c>
      <c r="K213">
        <f>H213/(SQRT(3))</f>
        <v>16.985644919558791</v>
      </c>
      <c r="L213">
        <f t="shared" si="80"/>
        <v>0.79824561403508776</v>
      </c>
      <c r="M213">
        <f t="shared" si="81"/>
        <v>0.7567567567567568</v>
      </c>
      <c r="N213">
        <f t="shared" si="57"/>
        <v>0.77750118539592228</v>
      </c>
      <c r="O213">
        <v>56.04</v>
      </c>
      <c r="P213">
        <v>51.72</v>
      </c>
      <c r="Q213">
        <f t="shared" si="58"/>
        <v>53.879999999999995</v>
      </c>
      <c r="R213" t="s">
        <v>35</v>
      </c>
      <c r="S213" t="s">
        <v>23</v>
      </c>
      <c r="T213" t="s">
        <v>23</v>
      </c>
      <c r="U213" t="s">
        <v>23</v>
      </c>
      <c r="V213" t="s">
        <v>29</v>
      </c>
    </row>
    <row r="214" spans="1:22" x14ac:dyDescent="0.2">
      <c r="A214" t="s">
        <v>129</v>
      </c>
      <c r="C214">
        <v>6</v>
      </c>
      <c r="F214" t="s">
        <v>24</v>
      </c>
      <c r="I214">
        <v>6</v>
      </c>
      <c r="L214">
        <f>5/6</f>
        <v>0.83333333333333337</v>
      </c>
      <c r="M214">
        <f>5/6</f>
        <v>0.83333333333333337</v>
      </c>
      <c r="N214">
        <f t="shared" si="57"/>
        <v>0.83333333333333337</v>
      </c>
      <c r="O214">
        <v>50.7</v>
      </c>
      <c r="P214">
        <v>51.8</v>
      </c>
      <c r="Q214">
        <f t="shared" si="58"/>
        <v>51.25</v>
      </c>
      <c r="R214" t="s">
        <v>23</v>
      </c>
      <c r="S214">
        <v>2.08</v>
      </c>
      <c r="T214" t="s">
        <v>23</v>
      </c>
      <c r="V214" t="s">
        <v>29</v>
      </c>
    </row>
    <row r="215" spans="1:22" x14ac:dyDescent="0.2">
      <c r="A215" t="s">
        <v>130</v>
      </c>
      <c r="B215" t="s">
        <v>103</v>
      </c>
      <c r="C215">
        <v>41</v>
      </c>
      <c r="D215">
        <v>153.93</v>
      </c>
      <c r="E215">
        <v>78.58</v>
      </c>
      <c r="F215" t="s">
        <v>24</v>
      </c>
      <c r="G215" t="s">
        <v>24</v>
      </c>
      <c r="H215" t="s">
        <v>24</v>
      </c>
      <c r="I215">
        <v>43</v>
      </c>
      <c r="J215">
        <v>117.37</v>
      </c>
      <c r="K215">
        <v>76.459999999999994</v>
      </c>
      <c r="L215">
        <f>33/41</f>
        <v>0.80487804878048785</v>
      </c>
      <c r="M215">
        <f>32/43</f>
        <v>0.7441860465116279</v>
      </c>
      <c r="N215">
        <f t="shared" si="57"/>
        <v>0.77453204764605788</v>
      </c>
      <c r="O215">
        <v>46.07</v>
      </c>
      <c r="P215">
        <v>42.35</v>
      </c>
      <c r="Q215">
        <f t="shared" si="58"/>
        <v>44.21</v>
      </c>
      <c r="R215" t="s">
        <v>35</v>
      </c>
      <c r="S215" t="s">
        <v>23</v>
      </c>
      <c r="T215" t="s">
        <v>23</v>
      </c>
      <c r="V215" t="s">
        <v>23</v>
      </c>
    </row>
    <row r="216" spans="1:22" x14ac:dyDescent="0.2">
      <c r="A216" t="s">
        <v>130</v>
      </c>
      <c r="B216" t="s">
        <v>104</v>
      </c>
      <c r="C216">
        <v>41</v>
      </c>
      <c r="D216">
        <v>48.95</v>
      </c>
      <c r="E216">
        <v>12.87</v>
      </c>
      <c r="F216" t="s">
        <v>24</v>
      </c>
      <c r="G216" t="s">
        <v>24</v>
      </c>
      <c r="H216" t="s">
        <v>24</v>
      </c>
      <c r="I216">
        <v>43</v>
      </c>
      <c r="J216">
        <v>54.03</v>
      </c>
      <c r="K216">
        <v>16.45</v>
      </c>
      <c r="L216">
        <f t="shared" ref="L216:L220" si="83">33/41</f>
        <v>0.80487804878048785</v>
      </c>
      <c r="M216">
        <f t="shared" ref="M216:M220" si="84">32/43</f>
        <v>0.7441860465116279</v>
      </c>
      <c r="N216">
        <f t="shared" ref="N216:N220" si="85">AVERAGE(L216:M216)</f>
        <v>0.77453204764605788</v>
      </c>
      <c r="O216">
        <v>46.07</v>
      </c>
      <c r="P216">
        <v>42.35</v>
      </c>
      <c r="Q216">
        <f t="shared" ref="Q216:Q220" si="86">AVERAGE(O216:P216)</f>
        <v>44.21</v>
      </c>
      <c r="R216" t="s">
        <v>35</v>
      </c>
      <c r="S216" t="s">
        <v>23</v>
      </c>
      <c r="T216" t="s">
        <v>23</v>
      </c>
      <c r="V216" t="s">
        <v>23</v>
      </c>
    </row>
    <row r="217" spans="1:22" x14ac:dyDescent="0.2">
      <c r="A217" t="s">
        <v>130</v>
      </c>
      <c r="B217" t="s">
        <v>105</v>
      </c>
      <c r="C217">
        <v>41</v>
      </c>
      <c r="D217">
        <v>123.76</v>
      </c>
      <c r="E217">
        <v>41.92</v>
      </c>
      <c r="F217" t="s">
        <v>24</v>
      </c>
      <c r="G217" t="s">
        <v>24</v>
      </c>
      <c r="H217" t="s">
        <v>24</v>
      </c>
      <c r="I217">
        <v>43</v>
      </c>
      <c r="J217">
        <v>122.9</v>
      </c>
      <c r="K217">
        <v>35.26</v>
      </c>
      <c r="L217">
        <f t="shared" si="83"/>
        <v>0.80487804878048785</v>
      </c>
      <c r="M217">
        <f t="shared" si="84"/>
        <v>0.7441860465116279</v>
      </c>
      <c r="N217">
        <f t="shared" si="85"/>
        <v>0.77453204764605788</v>
      </c>
      <c r="O217">
        <v>46.07</v>
      </c>
      <c r="P217">
        <v>42.35</v>
      </c>
      <c r="Q217">
        <f t="shared" si="86"/>
        <v>44.21</v>
      </c>
      <c r="R217" t="s">
        <v>35</v>
      </c>
      <c r="S217" t="s">
        <v>23</v>
      </c>
      <c r="T217" t="s">
        <v>23</v>
      </c>
      <c r="V217" t="s">
        <v>23</v>
      </c>
    </row>
    <row r="218" spans="1:22" x14ac:dyDescent="0.2">
      <c r="A218" t="s">
        <v>130</v>
      </c>
      <c r="B218" t="s">
        <v>128</v>
      </c>
      <c r="C218">
        <v>41</v>
      </c>
      <c r="D218">
        <v>203.55</v>
      </c>
      <c r="E218">
        <v>46.74</v>
      </c>
      <c r="F218" t="s">
        <v>24</v>
      </c>
      <c r="G218" t="s">
        <v>24</v>
      </c>
      <c r="H218" t="s">
        <v>24</v>
      </c>
      <c r="I218">
        <v>43</v>
      </c>
      <c r="J218">
        <v>200.34</v>
      </c>
      <c r="K218">
        <v>42.33</v>
      </c>
      <c r="L218">
        <f t="shared" si="83"/>
        <v>0.80487804878048785</v>
      </c>
      <c r="M218">
        <f t="shared" si="84"/>
        <v>0.7441860465116279</v>
      </c>
      <c r="N218">
        <f t="shared" si="85"/>
        <v>0.77453204764605788</v>
      </c>
      <c r="O218">
        <v>46.07</v>
      </c>
      <c r="P218">
        <v>42.35</v>
      </c>
      <c r="Q218">
        <f t="shared" si="86"/>
        <v>44.21</v>
      </c>
      <c r="R218" t="s">
        <v>35</v>
      </c>
      <c r="S218" t="s">
        <v>23</v>
      </c>
      <c r="T218" t="s">
        <v>23</v>
      </c>
      <c r="V218" t="s">
        <v>23</v>
      </c>
    </row>
    <row r="219" spans="1:22" x14ac:dyDescent="0.2">
      <c r="A219" t="s">
        <v>130</v>
      </c>
      <c r="B219" t="s">
        <v>131</v>
      </c>
      <c r="C219">
        <v>41</v>
      </c>
      <c r="D219">
        <v>111.41</v>
      </c>
      <c r="E219">
        <v>48.23</v>
      </c>
      <c r="F219" t="s">
        <v>24</v>
      </c>
      <c r="G219" t="s">
        <v>24</v>
      </c>
      <c r="H219" t="s">
        <v>24</v>
      </c>
      <c r="I219">
        <v>43</v>
      </c>
      <c r="J219">
        <v>94.09</v>
      </c>
      <c r="K219">
        <v>18.21</v>
      </c>
      <c r="L219">
        <f t="shared" si="83"/>
        <v>0.80487804878048785</v>
      </c>
      <c r="M219">
        <f t="shared" si="84"/>
        <v>0.7441860465116279</v>
      </c>
      <c r="N219">
        <f t="shared" si="85"/>
        <v>0.77453204764605788</v>
      </c>
      <c r="O219">
        <v>46.07</v>
      </c>
      <c r="P219">
        <v>42.35</v>
      </c>
      <c r="Q219">
        <f t="shared" si="86"/>
        <v>44.21</v>
      </c>
      <c r="R219" t="s">
        <v>35</v>
      </c>
      <c r="S219" t="s">
        <v>23</v>
      </c>
      <c r="T219" t="s">
        <v>23</v>
      </c>
      <c r="V219" t="s">
        <v>23</v>
      </c>
    </row>
    <row r="220" spans="1:22" x14ac:dyDescent="0.2">
      <c r="A220" t="s">
        <v>130</v>
      </c>
      <c r="B220" t="s">
        <v>133</v>
      </c>
      <c r="C220">
        <v>41</v>
      </c>
      <c r="D220">
        <v>5.87</v>
      </c>
      <c r="E220">
        <v>1.23</v>
      </c>
      <c r="F220" t="s">
        <v>24</v>
      </c>
      <c r="G220" t="s">
        <v>24</v>
      </c>
      <c r="H220" t="s">
        <v>24</v>
      </c>
      <c r="I220">
        <v>43</v>
      </c>
      <c r="J220">
        <v>5.53</v>
      </c>
      <c r="K220">
        <v>0.54</v>
      </c>
      <c r="L220">
        <f t="shared" si="83"/>
        <v>0.80487804878048785</v>
      </c>
      <c r="M220">
        <f t="shared" si="84"/>
        <v>0.7441860465116279</v>
      </c>
      <c r="N220">
        <f t="shared" si="85"/>
        <v>0.77453204764605788</v>
      </c>
      <c r="O220">
        <v>46.07</v>
      </c>
      <c r="P220">
        <v>42.35</v>
      </c>
      <c r="Q220">
        <f t="shared" si="86"/>
        <v>44.21</v>
      </c>
      <c r="R220" t="s">
        <v>35</v>
      </c>
      <c r="S220" t="s">
        <v>23</v>
      </c>
      <c r="T220" t="s">
        <v>23</v>
      </c>
      <c r="V2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Molina Álvarez</dc:creator>
  <cp:keywords/>
  <dc:description/>
  <cp:lastModifiedBy>Miguel Molina Álvarez</cp:lastModifiedBy>
  <cp:revision/>
  <dcterms:created xsi:type="dcterms:W3CDTF">2025-02-28T08:38:48Z</dcterms:created>
  <dcterms:modified xsi:type="dcterms:W3CDTF">2025-11-03T13:06:52Z</dcterms:modified>
  <cp:category/>
  <cp:contentStatus/>
</cp:coreProperties>
</file>